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urse preparation Udemy\Final\5. Form Creation\"/>
    </mc:Choice>
  </mc:AlternateContent>
  <xr:revisionPtr revIDLastSave="0" documentId="13_ncr:1_{1411DA98-5C7C-4969-9B0F-FC96809AF5E3}" xr6:coauthVersionLast="45" xr6:coauthVersionMax="45" xr10:uidLastSave="{00000000-0000-0000-0000-000000000000}"/>
  <bookViews>
    <workbookView xWindow="-108" yWindow="-108" windowWidth="23256" windowHeight="12576" xr2:uid="{A12B8357-2513-4C30-9CB9-4EABCB63892D}"/>
  </bookViews>
  <sheets>
    <sheet name="Summary" sheetId="3" r:id="rId1"/>
    <sheet name="Sheet1" sheetId="1" r:id="rId2"/>
    <sheet name="Name &amp; Email id" sheetId="2" r:id="rId3"/>
  </sheets>
  <definedNames>
    <definedName name="_xlnm._FilterDatabase" localSheetId="1" hidden="1">Sheet1!$A$1:$L$170</definedName>
    <definedName name="_xlnm.Print_Area" localSheetId="0">Summary!$A$1:$M$27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0" i="1" l="1"/>
  <c r="L170" i="1" s="1"/>
  <c r="F170" i="1"/>
  <c r="H170" i="1"/>
  <c r="G170" i="1" l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3" i="1"/>
  <c r="H4" i="1"/>
  <c r="H5" i="1"/>
  <c r="H2" i="1"/>
  <c r="K3" i="1" l="1"/>
  <c r="L3" i="1" s="1"/>
  <c r="K4" i="1"/>
  <c r="L4" i="1" s="1"/>
  <c r="K5" i="1"/>
  <c r="L5" i="1" s="1"/>
  <c r="K6" i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L63" i="1" s="1"/>
  <c r="K64" i="1"/>
  <c r="L64" i="1" s="1"/>
  <c r="K65" i="1"/>
  <c r="L65" i="1" s="1"/>
  <c r="K66" i="1"/>
  <c r="L66" i="1" s="1"/>
  <c r="K67" i="1"/>
  <c r="L67" i="1" s="1"/>
  <c r="K68" i="1"/>
  <c r="L68" i="1" s="1"/>
  <c r="K69" i="1"/>
  <c r="L69" i="1" s="1"/>
  <c r="K70" i="1"/>
  <c r="L70" i="1" s="1"/>
  <c r="K71" i="1"/>
  <c r="L71" i="1" s="1"/>
  <c r="K72" i="1"/>
  <c r="L72" i="1" s="1"/>
  <c r="K73" i="1"/>
  <c r="L73" i="1" s="1"/>
  <c r="K74" i="1"/>
  <c r="L74" i="1" s="1"/>
  <c r="K75" i="1"/>
  <c r="L75" i="1" s="1"/>
  <c r="K76" i="1"/>
  <c r="L76" i="1" s="1"/>
  <c r="K77" i="1"/>
  <c r="L77" i="1" s="1"/>
  <c r="K78" i="1"/>
  <c r="L78" i="1" s="1"/>
  <c r="K79" i="1"/>
  <c r="L79" i="1" s="1"/>
  <c r="K80" i="1"/>
  <c r="L80" i="1" s="1"/>
  <c r="K81" i="1"/>
  <c r="L81" i="1" s="1"/>
  <c r="K82" i="1"/>
  <c r="L82" i="1" s="1"/>
  <c r="K83" i="1"/>
  <c r="L83" i="1" s="1"/>
  <c r="K84" i="1"/>
  <c r="L84" i="1" s="1"/>
  <c r="K85" i="1"/>
  <c r="L85" i="1" s="1"/>
  <c r="K86" i="1"/>
  <c r="L86" i="1" s="1"/>
  <c r="K87" i="1"/>
  <c r="L87" i="1" s="1"/>
  <c r="K88" i="1"/>
  <c r="L88" i="1" s="1"/>
  <c r="K89" i="1"/>
  <c r="L89" i="1" s="1"/>
  <c r="K90" i="1"/>
  <c r="L90" i="1" s="1"/>
  <c r="K91" i="1"/>
  <c r="L91" i="1" s="1"/>
  <c r="K92" i="1"/>
  <c r="L92" i="1" s="1"/>
  <c r="K93" i="1"/>
  <c r="L93" i="1" s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 s="1"/>
  <c r="K111" i="1"/>
  <c r="L111" i="1" s="1"/>
  <c r="K112" i="1"/>
  <c r="L112" i="1" s="1"/>
  <c r="K113" i="1"/>
  <c r="L113" i="1" s="1"/>
  <c r="K114" i="1"/>
  <c r="L114" i="1" s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156" i="1"/>
  <c r="L156" i="1" s="1"/>
  <c r="K157" i="1"/>
  <c r="L157" i="1" s="1"/>
  <c r="K158" i="1"/>
  <c r="L158" i="1" s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2" i="1"/>
  <c r="E9" i="3" l="1"/>
  <c r="E8" i="3"/>
  <c r="E7" i="3"/>
  <c r="E6" i="3"/>
  <c r="E5" i="3"/>
  <c r="L2" i="1"/>
  <c r="E4" i="3"/>
  <c r="L6" i="1"/>
  <c r="G155" i="1"/>
  <c r="G160" i="1"/>
  <c r="G8" i="1"/>
  <c r="G7" i="1"/>
  <c r="G3" i="1"/>
  <c r="F3" i="1"/>
  <c r="F4" i="1"/>
  <c r="G4" i="1" s="1"/>
  <c r="F5" i="1"/>
  <c r="G5" i="1" s="1"/>
  <c r="F6" i="1"/>
  <c r="G6" i="1" s="1"/>
  <c r="F7" i="1"/>
  <c r="F8" i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F156" i="1"/>
  <c r="G156" i="1" s="1"/>
  <c r="F157" i="1"/>
  <c r="G157" i="1" s="1"/>
  <c r="F158" i="1"/>
  <c r="G158" i="1" s="1"/>
  <c r="F159" i="1"/>
  <c r="G159" i="1" s="1"/>
  <c r="F160" i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2" i="1"/>
  <c r="G2" i="1" s="1"/>
  <c r="F9" i="3" l="1"/>
  <c r="F6" i="3"/>
  <c r="E11" i="3"/>
  <c r="F11" i="3" s="1"/>
  <c r="F5" i="3"/>
  <c r="F7" i="3"/>
  <c r="F8" i="3"/>
  <c r="E10" i="3"/>
  <c r="F10" i="3" s="1"/>
  <c r="F4" i="3" l="1"/>
</calcChain>
</file>

<file path=xl/sharedStrings.xml><?xml version="1.0" encoding="utf-8"?>
<sst xmlns="http://schemas.openxmlformats.org/spreadsheetml/2006/main" count="568" uniqueCount="228">
  <si>
    <t>Sr. No.</t>
  </si>
  <si>
    <t>Date</t>
  </si>
  <si>
    <t xml:space="preserve">Task details </t>
  </si>
  <si>
    <t>Target date</t>
  </si>
  <si>
    <t>Responsibility</t>
  </si>
  <si>
    <t>Days Left 1</t>
  </si>
  <si>
    <t>Days Left 2</t>
  </si>
  <si>
    <t xml:space="preserve">Email id </t>
  </si>
  <si>
    <t>Completion date</t>
  </si>
  <si>
    <t>Update</t>
  </si>
  <si>
    <t>Status</t>
  </si>
  <si>
    <t>A has to complete the work to drive a car and to reach destination</t>
  </si>
  <si>
    <t>John Carter</t>
  </si>
  <si>
    <t>Prove a Theory</t>
  </si>
  <si>
    <t>Trent Marvin</t>
  </si>
  <si>
    <t>Create a New Ice Cream Flavor</t>
  </si>
  <si>
    <t>Clifford White</t>
  </si>
  <si>
    <t>Ride a Unicycle</t>
  </si>
  <si>
    <t>Mr. Daren Kemmer</t>
  </si>
  <si>
    <t>Complete 90 Days of P90X</t>
  </si>
  <si>
    <t>Cayla Towne</t>
  </si>
  <si>
    <t>Learn How to Play Drums</t>
  </si>
  <si>
    <t>Abagail Ritchie</t>
  </si>
  <si>
    <t>Adopt a Child</t>
  </si>
  <si>
    <t>Joy Feeney</t>
  </si>
  <si>
    <t>Do a Base Jump</t>
  </si>
  <si>
    <t>Miss Pinkie Huel MD</t>
  </si>
  <si>
    <t>Create a Scrapbook</t>
  </si>
  <si>
    <t>Prof. Jalon Rice V</t>
  </si>
  <si>
    <t>Create Community Around Cooking</t>
  </si>
  <si>
    <t>Zoey Rolfson</t>
  </si>
  <si>
    <t>Go Swimming in the Dead Sea</t>
  </si>
  <si>
    <t>Trek to Everest Base Camp</t>
  </si>
  <si>
    <t>Hike Mont Blanc</t>
  </si>
  <si>
    <t>Drive an Aston Martin</t>
  </si>
  <si>
    <t>Go on a Huge Water Rollercoaster</t>
  </si>
  <si>
    <t>Take a Caribbean Cruise</t>
  </si>
  <si>
    <t>Go to Italy</t>
  </si>
  <si>
    <t>Visit 15 Attractions of the Unesco World Heritage List</t>
  </si>
  <si>
    <t>Make Parents Breakfast in Bed</t>
  </si>
  <si>
    <t>Organize an Event</t>
  </si>
  <si>
    <t>Work As a Walt Disney Imagineer</t>
  </si>
  <si>
    <t>Wear a Blindfold For a Day</t>
  </si>
  <si>
    <t>Eat a Fish I Caught Myself</t>
  </si>
  <si>
    <t>Work in a Coffee Shop</t>
  </si>
  <si>
    <t>Go Behind the Scenes to the Making of Any Movie</t>
  </si>
  <si>
    <t>Learn to Do a Handstand</t>
  </si>
  <si>
    <t>Build A Major Brand</t>
  </si>
  <si>
    <t>Ride 100 Miles Through Death Valley</t>
  </si>
  <si>
    <t>Go on a Skidoo Ride</t>
  </si>
  <si>
    <t>Jump in a Fountain</t>
  </si>
  <si>
    <t>Spend a Weekend on Necker Island</t>
  </si>
  <si>
    <t>Go to Rio De Janeiro</t>
  </si>
  <si>
    <t>Learn to Write With my Foot</t>
  </si>
  <si>
    <t>Have a Drink in Every County in Ireland</t>
  </si>
  <si>
    <t>Camp in a Yurt</t>
  </si>
  <si>
    <t>Ride in a Limo Through NYC</t>
  </si>
  <si>
    <t>Own a White Kitten</t>
  </si>
  <si>
    <t>Camp Under the Northern Lights</t>
  </si>
  <si>
    <t>Knit a Blanket</t>
  </si>
  <si>
    <t>Hike the Tahoe Rim Trail</t>
  </si>
  <si>
    <t>Learn I Love You in More Than 30 Languages</t>
  </si>
  <si>
    <t>Fast For a Day</t>
  </si>
  <si>
    <t>Complete the IMDB Top 250 Movies</t>
  </si>
  <si>
    <t>Participate in a Riot</t>
  </si>
  <si>
    <t>Bake a Rainbow Cake</t>
  </si>
  <si>
    <t>Build a Giant Playground</t>
  </si>
  <si>
    <t>Hike the Swiss Alps</t>
  </si>
  <si>
    <t>Go Helmet Diving</t>
  </si>
  <si>
    <t>Do Handstands all Over the World</t>
  </si>
  <si>
    <t>Taste 1,000 Different Beers</t>
  </si>
  <si>
    <t>Try New Food Every Month</t>
  </si>
  <si>
    <t>Run the Turkey Trot</t>
  </si>
  <si>
    <t>Teach a Yoga Class</t>
  </si>
  <si>
    <t>Pierce my Ears</t>
  </si>
  <si>
    <t>Make a Quilt</t>
  </si>
  <si>
    <t>Publish a Photo in National Geographic</t>
  </si>
  <si>
    <t>Try Helium</t>
  </si>
  <si>
    <t>Read my Child the Children's Classics</t>
  </si>
  <si>
    <t>Feed Sharks</t>
  </si>
  <si>
    <t>Hike the W at Torres Del Paine</t>
  </si>
  <si>
    <t>Fall in Love Accidentally</t>
  </si>
  <si>
    <t>Go Camping and Watch the Moonlight</t>
  </si>
  <si>
    <t>Hike the Pacific Crest Trail</t>
  </si>
  <si>
    <t>Go Ice Skating</t>
  </si>
  <si>
    <t>Live One Year Without Electricity</t>
  </si>
  <si>
    <t>Perform in a Music Video</t>
  </si>
  <si>
    <t>Join a Yoga Class</t>
  </si>
  <si>
    <t>Be Able to Do Half Moon Yoga Pose</t>
  </si>
  <si>
    <t>Walk Across Forum Romanum</t>
  </si>
  <si>
    <t>Learn a New Word from an Unknown Language Every Day For 30 Days</t>
  </si>
  <si>
    <t>Go to a Paint Party</t>
  </si>
  <si>
    <t>Play a New Sport For an Entire Season</t>
  </si>
  <si>
    <t>Write a Travel Guide to Somewhere</t>
  </si>
  <si>
    <t>Get a Cat and Name It Dog</t>
  </si>
  <si>
    <t>Make Love in Every Room of the House</t>
  </si>
  <si>
    <t>Drive Along Route 66</t>
  </si>
  <si>
    <t>Eat Bull Testicles</t>
  </si>
  <si>
    <t>Become a Certified Sky Diver</t>
  </si>
  <si>
    <t>Go Skiing in Swiss Alps</t>
  </si>
  <si>
    <t>Make Homemade Soap</t>
  </si>
  <si>
    <t>Go to a Jewish Wedding</t>
  </si>
  <si>
    <t>Do a Polar Bear Swim</t>
  </si>
  <si>
    <t>Volunteer For 200 Hours This Year</t>
  </si>
  <si>
    <t>Save a Species from Extinction</t>
  </si>
  <si>
    <t>Sail to the Galapagos</t>
  </si>
  <si>
    <t>Say, "I Do" to the One I Love</t>
  </si>
  <si>
    <t>Hike a Part of the Pacific Coast Trail</t>
  </si>
  <si>
    <t>Max Out a Credit Card</t>
  </si>
  <si>
    <t>See a Live Red Panda</t>
  </si>
  <si>
    <t>Make a Website For my Blog</t>
  </si>
  <si>
    <t>See a Nascar Race</t>
  </si>
  <si>
    <t>Read the Koran</t>
  </si>
  <si>
    <t>Go Snorkeling in a Shipwreck</t>
  </si>
  <si>
    <t>Jump Off a Rock Into the Ocean</t>
  </si>
  <si>
    <t>Become a Translator</t>
  </si>
  <si>
    <t>Care For my Parents When They Are Old</t>
  </si>
  <si>
    <t>Do a New Year Dip</t>
  </si>
  <si>
    <t>Try all of Omnivore's Top 100</t>
  </si>
  <si>
    <t>Join a Secret Society</t>
  </si>
  <si>
    <t>Achieve a 4.0 For One Semester</t>
  </si>
  <si>
    <t>Do a Buddha Meditation</t>
  </si>
  <si>
    <t>Walk a Marathon Barefoot</t>
  </si>
  <si>
    <t>Bake a Lemon Cake</t>
  </si>
  <si>
    <t>Donate an Organ</t>
  </si>
  <si>
    <t>Explore Europe</t>
  </si>
  <si>
    <t>Make Homemade Natto</t>
  </si>
  <si>
    <t>Work With Zoo Animals</t>
  </si>
  <si>
    <t>Eat Chocolate in Belgium</t>
  </si>
  <si>
    <t>Go to a 24-Hour Shop at 3 Am</t>
  </si>
  <si>
    <t>Become a Qualified Scuba Diver</t>
  </si>
  <si>
    <t>Get Into a Pt School</t>
  </si>
  <si>
    <t>Bake a Cake For Someone Special</t>
  </si>
  <si>
    <t>Go a Month Without Television</t>
  </si>
  <si>
    <t>Meet a Millionaire</t>
  </si>
  <si>
    <t>Try Ocean Kayaking</t>
  </si>
  <si>
    <t>Try Food Eaten By Astronauts</t>
  </si>
  <si>
    <t>Have my Own Company</t>
  </si>
  <si>
    <t>Become a Councilor at a Summer Camp in America</t>
  </si>
  <si>
    <t>Taste Everything at Least Once</t>
  </si>
  <si>
    <t>Wear my Hair in Dreadlocks</t>
  </si>
  <si>
    <t>Learn to Street Dance</t>
  </si>
  <si>
    <t>Be Recognized As an Authority my Field</t>
  </si>
  <si>
    <t>Parasailing in France</t>
  </si>
  <si>
    <t>Dress a Man</t>
  </si>
  <si>
    <t>Ride a Mechanical Bull</t>
  </si>
  <si>
    <t>Live in a Mansion</t>
  </si>
  <si>
    <t>Become Ambidextrous</t>
  </si>
  <si>
    <t>Play Golf in 50 Different Countries</t>
  </si>
  <si>
    <t>Make my Own Flavored Vodka</t>
  </si>
  <si>
    <t>Grow a Beard</t>
  </si>
  <si>
    <t>Be Invited to the Playboy Mansion</t>
  </si>
  <si>
    <t>Do Charity Work With Animals</t>
  </si>
  <si>
    <t>Read Oprah's Entire Book List</t>
  </si>
  <si>
    <t>Make Carmel Apples</t>
  </si>
  <si>
    <t>Ride the Scooters in Walmart</t>
  </si>
  <si>
    <t>Drive 200+ Kph on the German Autobahn</t>
  </si>
  <si>
    <t>Learn to Windsurf</t>
  </si>
  <si>
    <t>Help an Elderly Person With Their Bags</t>
  </si>
  <si>
    <t>Kill and Skin a Rabbit</t>
  </si>
  <si>
    <t>Drink a $200 Bottle of Wine</t>
  </si>
  <si>
    <t>Go Guerilla Gardening</t>
  </si>
  <si>
    <t>Go to Hungary</t>
  </si>
  <si>
    <t>Watch the Nobel Prize Ceremonies</t>
  </si>
  <si>
    <t>Scuba Dive in the Great Barrier Reef</t>
  </si>
  <si>
    <t>Enter the Cooper Hill Cheese Roll</t>
  </si>
  <si>
    <t>Fall Deeply, Deeply in Love</t>
  </si>
  <si>
    <t>Sail Down the Yangtze River</t>
  </si>
  <si>
    <t>Complete Another Degree</t>
  </si>
  <si>
    <t>Learn Qi Gong</t>
  </si>
  <si>
    <t>Learn a Computer Programming Language</t>
  </si>
  <si>
    <t>Kayak the Bay of Fundy</t>
  </si>
  <si>
    <t>Throw Water Into the Air and Watch It Freeze</t>
  </si>
  <si>
    <t>Get Drunk on the Beach</t>
  </si>
  <si>
    <t>Become a Good Horse Trainer</t>
  </si>
  <si>
    <t>Break a Guinness World Record</t>
  </si>
  <si>
    <t>Capture a Tornado on Film</t>
  </si>
  <si>
    <t>Taste Truffles</t>
  </si>
  <si>
    <t>Get Through a Long Distance Relationship</t>
  </si>
  <si>
    <t>Bake a Banana Cake</t>
  </si>
  <si>
    <t>Fly a Biplane</t>
  </si>
  <si>
    <t>Work For a Culinary Magazine</t>
  </si>
  <si>
    <t>Read a Book in One Day</t>
  </si>
  <si>
    <t>Go a Week Without Candy</t>
  </si>
  <si>
    <t>Write a Cookbook</t>
  </si>
  <si>
    <t>Go Kayaking</t>
  </si>
  <si>
    <t>Have a Long Term Relationship</t>
  </si>
  <si>
    <t>Do Something Nice For a Homeless Person</t>
  </si>
  <si>
    <t>Done</t>
  </si>
  <si>
    <t>D</t>
  </si>
  <si>
    <t>Work in Progress</t>
  </si>
  <si>
    <t>W</t>
  </si>
  <si>
    <t>Close</t>
  </si>
  <si>
    <t>C</t>
  </si>
  <si>
    <t>Email id</t>
  </si>
  <si>
    <t>bancboy@yahoo.com</t>
  </si>
  <si>
    <t>isotopian@icloud.com</t>
  </si>
  <si>
    <t>denism@aol.com</t>
  </si>
  <si>
    <t>bmorrow@verizon.net</t>
  </si>
  <si>
    <t>bartlett@mac.com</t>
  </si>
  <si>
    <t>aukjan@msn.com</t>
  </si>
  <si>
    <t>cremonini@att.net</t>
  </si>
  <si>
    <t>pereinar@yahoo.com</t>
  </si>
  <si>
    <t>mschwartz@att.net</t>
  </si>
  <si>
    <t>johnparker@gmail.com</t>
  </si>
  <si>
    <t>Name</t>
  </si>
  <si>
    <t>On time?</t>
  </si>
  <si>
    <t>Summary DashBoard</t>
  </si>
  <si>
    <t>Total numbers of Task</t>
  </si>
  <si>
    <t>Completed Task</t>
  </si>
  <si>
    <t>Closed Task</t>
  </si>
  <si>
    <t>Work in Progress - Task</t>
  </si>
  <si>
    <t>Under discussition - Task</t>
  </si>
  <si>
    <t>Overdue Task</t>
  </si>
  <si>
    <t>No.</t>
  </si>
  <si>
    <t>Per</t>
  </si>
  <si>
    <t>Complete the reading book</t>
  </si>
  <si>
    <t>Task Completed on Time</t>
  </si>
  <si>
    <t>Task not Completed on time</t>
  </si>
  <si>
    <t>John Parker</t>
  </si>
  <si>
    <t>parkerjohn@yahoo.com</t>
  </si>
  <si>
    <t>John Parker2</t>
  </si>
  <si>
    <t>parkerjohn2@yahoo.com</t>
  </si>
  <si>
    <t>John Karter3</t>
  </si>
  <si>
    <t>Karterjohn3443@gmail.com</t>
  </si>
  <si>
    <t xml:space="preserve"> </t>
  </si>
  <si>
    <t>Andre</t>
  </si>
  <si>
    <t>andrewdb@gmail.com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</si>
</sst>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DashDot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1">
    <xf numFmtId="0" fontId="0" fillId="0" borderId="0" xfId="0"/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/>
    <xf numFmtId="14" fontId="0" fillId="0" borderId="1" xfId="0" applyNumberFormat="1" applyBorder="1"/>
    <xf numFmtId="0" fontId="0" fillId="0" borderId="1" xfId="0" applyFont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/>
    </xf>
    <xf numFmtId="1" fontId="0" fillId="0" borderId="1" xfId="0" applyNumberFormat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/>
    <xf numFmtId="9" fontId="0" fillId="0" borderId="2" xfId="1" applyFont="1" applyBorder="1"/>
    <xf numFmtId="9" fontId="0" fillId="0" borderId="1" xfId="1" applyFont="1" applyBorder="1"/>
    <xf numFmtId="9" fontId="1" fillId="0" borderId="1" xfId="1" applyFont="1" applyBorder="1"/>
    <xf numFmtId="0" fontId="4" fillId="0" borderId="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BA1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BAR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Task</c:v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AA9-4494-A320-DEC96D819472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AA9-4494-A320-DEC96D819472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AA9-4494-A320-DEC96D81947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9AA9-4494-A320-DEC96D819472}"/>
              </c:ext>
            </c:extLst>
          </c:dPt>
          <c:dPt>
            <c:idx val="4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9AA9-4494-A320-DEC96D8194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Summary!$D$5:$D$9</c:f>
              <c:strCache>
                <c:ptCount val="5"/>
                <c:pt idx="0">
                  <c:v>Completed Task</c:v>
                </c:pt>
                <c:pt idx="1">
                  <c:v>Overdue Task</c:v>
                </c:pt>
                <c:pt idx="2">
                  <c:v>Work in Progress - Task</c:v>
                </c:pt>
                <c:pt idx="3">
                  <c:v>Closed Task</c:v>
                </c:pt>
                <c:pt idx="4">
                  <c:v>Under discussition - Task</c:v>
                </c:pt>
              </c:strCache>
            </c:strRef>
          </c:cat>
          <c:val>
            <c:numRef>
              <c:f>Summary!$E$5:$E$9</c:f>
              <c:numCache>
                <c:formatCode>General</c:formatCode>
                <c:ptCount val="5"/>
                <c:pt idx="0">
                  <c:v>137</c:v>
                </c:pt>
                <c:pt idx="1">
                  <c:v>5</c:v>
                </c:pt>
                <c:pt idx="2">
                  <c:v>16</c:v>
                </c:pt>
                <c:pt idx="3">
                  <c:v>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9-4494-A320-DEC96D819472}"/>
            </c:ext>
          </c:extLst>
        </c:ser>
        <c:ser>
          <c:idx val="1"/>
          <c:order val="1"/>
          <c:tx>
            <c:v>Percentage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Summary!$D$5:$D$9</c:f>
              <c:strCache>
                <c:ptCount val="5"/>
                <c:pt idx="0">
                  <c:v>Completed Task</c:v>
                </c:pt>
                <c:pt idx="1">
                  <c:v>Overdue Task</c:v>
                </c:pt>
                <c:pt idx="2">
                  <c:v>Work in Progress - Task</c:v>
                </c:pt>
                <c:pt idx="3">
                  <c:v>Closed Task</c:v>
                </c:pt>
                <c:pt idx="4">
                  <c:v>Under discussition - Task</c:v>
                </c:pt>
              </c:strCache>
            </c:strRef>
          </c:cat>
          <c:val>
            <c:numRef>
              <c:f>Summary!$F$5:$F$9</c:f>
              <c:numCache>
                <c:formatCode>0%</c:formatCode>
                <c:ptCount val="5"/>
                <c:pt idx="0">
                  <c:v>0.81065088757396453</c:v>
                </c:pt>
                <c:pt idx="1">
                  <c:v>2.9585798816568046E-2</c:v>
                </c:pt>
                <c:pt idx="2">
                  <c:v>9.4674556213017749E-2</c:v>
                </c:pt>
                <c:pt idx="3">
                  <c:v>6.5088757396449703E-2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AA9-4494-A320-DEC96D8194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505684392"/>
        <c:axId val="505685048"/>
      </c:barChart>
      <c:catAx>
        <c:axId val="50568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85048"/>
        <c:crosses val="autoZero"/>
        <c:auto val="1"/>
        <c:lblAlgn val="ctr"/>
        <c:lblOffset val="100"/>
        <c:noMultiLvlLbl val="0"/>
      </c:catAx>
      <c:valAx>
        <c:axId val="5056850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843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dbl" algn="ctr">
      <a:solidFill>
        <a:srgbClr val="FF0000"/>
      </a:solidFill>
      <a:round/>
    </a:ln>
    <a:effectLst>
      <a:glow rad="114300">
        <a:schemeClr val="accent2">
          <a:satMod val="175000"/>
          <a:alpha val="44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PIE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90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E6-4EE1-82D7-8B0C1C88E03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EE6-4EE1-82D7-8B0C1C88E03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E6-4EE1-82D7-8B0C1C88E03C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tx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EE6-4EE1-82D7-8B0C1C88E03C}"/>
              </c:ext>
            </c:extLst>
          </c:dPt>
          <c:dPt>
            <c:idx val="4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tx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EE6-4EE1-82D7-8B0C1C88E03C}"/>
              </c:ext>
            </c:extLst>
          </c:dPt>
          <c:dLbls>
            <c:dLbl>
              <c:idx val="0"/>
              <c:layout>
                <c:manualLayout>
                  <c:x val="3.3756827849786536E-2"/>
                  <c:y val="-3.331291921843102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C5FC76F-F806-4CA9-88B2-C4181AAABC86}" type="CATEGORYNAME">
                      <a:rPr lang="en-US" baseline="0">
                        <a:solidFill>
                          <a:srgbClr val="92D050"/>
                        </a:solidFill>
                      </a:rPr>
                      <a:pPr>
                        <a:defRPr/>
                      </a:pPr>
                      <a:t>[CATEGORY NAME]</a:t>
                    </a:fld>
                    <a:r>
                      <a:rPr lang="en-US" baseline="0">
                        <a:solidFill>
                          <a:srgbClr val="92D050"/>
                        </a:solidFill>
                      </a:rPr>
                      <a:t>, </a:t>
                    </a:r>
                    <a:fld id="{3540AD08-7EA6-4AAC-AD73-D648F5D9309C}" type="VALUE">
                      <a:rPr lang="en-US" baseline="0">
                        <a:solidFill>
                          <a:srgbClr val="92D050"/>
                        </a:solidFill>
                      </a:rPr>
                      <a:pPr>
                        <a:defRPr/>
                      </a:pPr>
                      <a:t>[VALUE]</a:t>
                    </a:fld>
                    <a:endParaRPr lang="en-US" baseline="0">
                      <a:solidFill>
                        <a:srgbClr val="92D05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EE6-4EE1-82D7-8B0C1C88E03C}"/>
                </c:ext>
              </c:extLst>
            </c:dLbl>
            <c:dLbl>
              <c:idx val="1"/>
              <c:layout>
                <c:manualLayout>
                  <c:x val="1.4642928184460775E-3"/>
                  <c:y val="-2.656605424321959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CA6ED2A-D81D-48A7-98A5-24DB1D955188}" type="CATEGORYNAME">
                      <a:rPr lang="en-US" baseline="0">
                        <a:solidFill>
                          <a:srgbClr val="FF000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FF0000"/>
                        </a:solidFill>
                      </a:rPr>
                      <a:t>, </a:t>
                    </a:r>
                    <a:fld id="{63F4FA54-2726-4EA3-9904-776D1FA16A0B}" type="VALUE">
                      <a:rPr lang="en-US" baseline="0">
                        <a:solidFill>
                          <a:srgbClr val="FF000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en-US" baseline="0">
                      <a:solidFill>
                        <a:srgbClr val="FF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CEE6-4EE1-82D7-8B0C1C88E03C}"/>
                </c:ext>
              </c:extLst>
            </c:dLbl>
            <c:dLbl>
              <c:idx val="2"/>
              <c:layout>
                <c:manualLayout>
                  <c:x val="1.3339257336975878E-2"/>
                  <c:y val="-2.2377150772820063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E505571-AE95-4422-89F8-3C7D841E9D78}" type="CATEGORYNAME">
                      <a:rPr lang="en-US" baseline="0">
                        <a:solidFill>
                          <a:srgbClr val="FFC00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rgbClr val="FFC000"/>
                        </a:solidFill>
                      </a:rPr>
                      <a:t>, </a:t>
                    </a:r>
                    <a:fld id="{7ECF0F36-9D05-408D-9388-2F08BA03FDC3}" type="VALUE">
                      <a:rPr lang="en-US" baseline="0">
                        <a:solidFill>
                          <a:srgbClr val="FFC000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en-US" baseline="0">
                      <a:solidFill>
                        <a:srgbClr val="FFC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CEE6-4EE1-82D7-8B0C1C88E03C}"/>
                </c:ext>
              </c:extLst>
            </c:dLbl>
            <c:dLbl>
              <c:idx val="3"/>
              <c:layout>
                <c:manualLayout>
                  <c:x val="6.221843687272053E-2"/>
                  <c:y val="-2.099445902595508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F993378-0794-4199-9E1F-0FF51012A7B9}" type="CATEGORYNAME">
                      <a:rPr lang="en-US" baseline="0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accent1"/>
                        </a:solidFill>
                      </a:rPr>
                      <a:t>, </a:t>
                    </a:r>
                    <a:fld id="{CCAABF50-3139-48CD-837F-D3C69B61E9ED}" type="VALUE">
                      <a:rPr lang="en-US" baseline="0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en-US" baseline="0">
                      <a:solidFill>
                        <a:schemeClr val="accent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EE6-4EE1-82D7-8B0C1C88E03C}"/>
                </c:ext>
              </c:extLst>
            </c:dLbl>
            <c:dLbl>
              <c:idx val="4"/>
              <c:layout>
                <c:manualLayout>
                  <c:x val="0.2742609464365412"/>
                  <c:y val="9.818934091571886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C4973A-74BE-48C6-9265-8493511F8344}" type="CATEGORYNAME">
                      <a:rPr lang="en-US" baseline="0">
                        <a:solidFill>
                          <a:schemeClr val="bg2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chemeClr val="bg2">
                            <a:lumMod val="75000"/>
                          </a:schemeClr>
                        </a:solidFill>
                      </a:rPr>
                      <a:t>, </a:t>
                    </a:r>
                    <a:fld id="{17947B86-BFC3-41DC-B1AD-FF9C2D836482}" type="VALUE">
                      <a:rPr lang="en-US" baseline="0">
                        <a:solidFill>
                          <a:schemeClr val="bg2">
                            <a:lumMod val="75000"/>
                          </a:schemeClr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en-US" baseline="0">
                      <a:solidFill>
                        <a:schemeClr val="bg2">
                          <a:lumMod val="75000"/>
                        </a:schemeClr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EE6-4EE1-82D7-8B0C1C88E03C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Summary!$D$5:$D$9</c:f>
              <c:strCache>
                <c:ptCount val="5"/>
                <c:pt idx="0">
                  <c:v>Completed Task</c:v>
                </c:pt>
                <c:pt idx="1">
                  <c:v>Overdue Task</c:v>
                </c:pt>
                <c:pt idx="2">
                  <c:v>Work in Progress - Task</c:v>
                </c:pt>
                <c:pt idx="3">
                  <c:v>Closed Task</c:v>
                </c:pt>
                <c:pt idx="4">
                  <c:v>Under discussition - Task</c:v>
                </c:pt>
              </c:strCache>
            </c:strRef>
          </c:cat>
          <c:val>
            <c:numRef>
              <c:f>Summary!$E$5:$E$9</c:f>
              <c:numCache>
                <c:formatCode>General</c:formatCode>
                <c:ptCount val="5"/>
                <c:pt idx="0">
                  <c:v>137</c:v>
                </c:pt>
                <c:pt idx="1">
                  <c:v>5</c:v>
                </c:pt>
                <c:pt idx="2">
                  <c:v>16</c:v>
                </c:pt>
                <c:pt idx="3">
                  <c:v>11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E6-4EE1-82D7-8B0C1C88E03C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EE6-4EE1-82D7-8B0C1C88E0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CEE6-4EE1-82D7-8B0C1C88E0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EE6-4EE1-82D7-8B0C1C88E0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EE6-4EE1-82D7-8B0C1C88E0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EE6-4EE1-82D7-8B0C1C88E03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EE6-4EE1-82D7-8B0C1C88E03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CEE6-4EE1-82D7-8B0C1C88E03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EE6-4EE1-82D7-8B0C1C88E03C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CEE6-4EE1-82D7-8B0C1C88E03C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EE6-4EE1-82D7-8B0C1C88E03C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Summary!$D$5:$D$9</c:f>
              <c:strCache>
                <c:ptCount val="5"/>
                <c:pt idx="0">
                  <c:v>Completed Task</c:v>
                </c:pt>
                <c:pt idx="1">
                  <c:v>Overdue Task</c:v>
                </c:pt>
                <c:pt idx="2">
                  <c:v>Work in Progress - Task</c:v>
                </c:pt>
                <c:pt idx="3">
                  <c:v>Closed Task</c:v>
                </c:pt>
                <c:pt idx="4">
                  <c:v>Under discussition - Task</c:v>
                </c:pt>
              </c:strCache>
            </c:strRef>
          </c:cat>
          <c:val>
            <c:numRef>
              <c:f>Summary!$F$5:$F$9</c:f>
              <c:numCache>
                <c:formatCode>0%</c:formatCode>
                <c:ptCount val="5"/>
                <c:pt idx="0">
                  <c:v>0.81065088757396453</c:v>
                </c:pt>
                <c:pt idx="1">
                  <c:v>2.9585798816568046E-2</c:v>
                </c:pt>
                <c:pt idx="2">
                  <c:v>9.4674556213017749E-2</c:v>
                </c:pt>
                <c:pt idx="3">
                  <c:v>6.5088757396449703E-2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E6-4EE1-82D7-8B0C1C88E03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accent1"/>
      </a:solidFill>
      <a:round/>
    </a:ln>
    <a:effectLst>
      <a:glow rad="63500">
        <a:schemeClr val="accent5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231912</xdr:colOff>
      <xdr:row>11</xdr:row>
      <xdr:rowOff>109331</xdr:rowOff>
    </xdr:from>
    <xdr:to>
      <xdr:col>5</xdr:col>
      <xdr:colOff>59634</xdr:colOff>
      <xdr:row>26</xdr:row>
      <xdr:rowOff>69573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523460</xdr:colOff>
      <xdr:row>11</xdr:row>
      <xdr:rowOff>122581</xdr:rowOff>
    </xdr:from>
    <xdr:to>
      <xdr:col>12</xdr:col>
      <xdr:colOff>331304</xdr:colOff>
      <xdr:row>26</xdr:row>
      <xdr:rowOff>82824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5</xdr:row>
          <xdr:rowOff>106680</xdr:rowOff>
        </xdr:from>
        <xdr:to>
          <xdr:col>10</xdr:col>
          <xdr:colOff>373380</xdr:colOff>
          <xdr:row>8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454550</xdr:colOff>
          <xdr:row>2</xdr:row>
          <xdr:rowOff>53339</xdr:rowOff>
        </xdr:from>
        <xdr:to>
          <xdr:col>10</xdr:col>
          <xdr:colOff>164990</xdr:colOff>
          <xdr:row>4</xdr:row>
          <xdr:rowOff>175259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E651808-7863-4FFA-A128-14E590F9B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Shoot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914400</xdr:colOff>
      <xdr:row>5</xdr:row>
      <xdr:rowOff>0</xdr:rowOff>
    </xdr:from>
    <xdr:to>
      <xdr:col>4</xdr:col>
      <xdr:colOff>655319</xdr:colOff>
      <xdr:row>5</xdr:row>
      <xdr:rowOff>168985</xdr:rowOff>
    </xdr:to>
    <xdr:pic>
      <xdr:nvPicPr>
        <xdr:cNvPr id="2" name="Label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754380"/>
          <a:ext cx="944879" cy="5957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914400</xdr:colOff>
      <xdr:row>5</xdr:row>
      <xdr:rowOff>0</xdr:rowOff>
    </xdr:from>
    <xdr:to>
      <xdr:col>4</xdr:col>
      <xdr:colOff>655319</xdr:colOff>
      <xdr:row>5</xdr:row>
      <xdr:rowOff>168985</xdr:rowOff>
    </xdr:to>
    <xdr:pic>
      <xdr:nvPicPr>
        <xdr:cNvPr id="3" name="Label1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754380"/>
          <a:ext cx="944879" cy="5957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6</xdr:row>
      <xdr:rowOff>0</xdr:rowOff>
    </xdr:from>
    <xdr:ext cx="911678" cy="228600"/>
    <xdr:pic>
      <xdr:nvPicPr>
        <xdr:cNvPr id="4" name="Label1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6</xdr:row>
      <xdr:rowOff>0</xdr:rowOff>
    </xdr:from>
    <xdr:ext cx="911678" cy="228600"/>
    <xdr:pic>
      <xdr:nvPicPr>
        <xdr:cNvPr id="5" name="Label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6</xdr:row>
      <xdr:rowOff>0</xdr:rowOff>
    </xdr:from>
    <xdr:ext cx="911678" cy="228600"/>
    <xdr:pic>
      <xdr:nvPicPr>
        <xdr:cNvPr id="6" name="Label1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6</xdr:row>
      <xdr:rowOff>0</xdr:rowOff>
    </xdr:from>
    <xdr:ext cx="911678" cy="228600"/>
    <xdr:pic>
      <xdr:nvPicPr>
        <xdr:cNvPr id="7" name="Label1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8" name="Label1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9" name="Label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10" name="Label1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11" name="Label1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12" name="Label1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7</xdr:row>
      <xdr:rowOff>0</xdr:rowOff>
    </xdr:from>
    <xdr:ext cx="911678" cy="228600"/>
    <xdr:pic>
      <xdr:nvPicPr>
        <xdr:cNvPr id="13" name="Label1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8</xdr:row>
      <xdr:rowOff>0</xdr:rowOff>
    </xdr:from>
    <xdr:ext cx="911678" cy="228600"/>
    <xdr:pic>
      <xdr:nvPicPr>
        <xdr:cNvPr id="14" name="Label1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914400</xdr:colOff>
      <xdr:row>8</xdr:row>
      <xdr:rowOff>0</xdr:rowOff>
    </xdr:from>
    <xdr:ext cx="911678" cy="228600"/>
    <xdr:pic>
      <xdr:nvPicPr>
        <xdr:cNvPr id="15" name="Label1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13</xdr:row>
      <xdr:rowOff>133350</xdr:rowOff>
    </xdr:from>
    <xdr:to>
      <xdr:col>4</xdr:col>
      <xdr:colOff>655319</xdr:colOff>
      <xdr:row>14</xdr:row>
      <xdr:rowOff>115421</xdr:rowOff>
    </xdr:to>
    <xdr:pic>
      <xdr:nvPicPr>
        <xdr:cNvPr id="16" name="Label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350770"/>
          <a:ext cx="944879" cy="41641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914400</xdr:colOff>
      <xdr:row>58</xdr:row>
      <xdr:rowOff>0</xdr:rowOff>
    </xdr:from>
    <xdr:to>
      <xdr:col>4</xdr:col>
      <xdr:colOff>655319</xdr:colOff>
      <xdr:row>58</xdr:row>
      <xdr:rowOff>167641</xdr:rowOff>
    </xdr:to>
    <xdr:pic>
      <xdr:nvPicPr>
        <xdr:cNvPr id="17" name="Label1" hidden="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0447020"/>
          <a:ext cx="944879" cy="22098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914400</xdr:colOff>
      <xdr:row>10</xdr:row>
      <xdr:rowOff>133350</xdr:rowOff>
    </xdr:from>
    <xdr:to>
      <xdr:col>4</xdr:col>
      <xdr:colOff>657225</xdr:colOff>
      <xdr:row>11</xdr:row>
      <xdr:rowOff>121696</xdr:rowOff>
    </xdr:to>
    <xdr:pic>
      <xdr:nvPicPr>
        <xdr:cNvPr id="18" name="Label1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46785" cy="22456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10</xdr:row>
      <xdr:rowOff>133350</xdr:rowOff>
    </xdr:from>
    <xdr:ext cx="914400" cy="228600"/>
    <xdr:pic>
      <xdr:nvPicPr>
        <xdr:cNvPr id="19" name="Label1" hidden="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60</xdr:row>
      <xdr:rowOff>133350</xdr:rowOff>
    </xdr:from>
    <xdr:to>
      <xdr:col>4</xdr:col>
      <xdr:colOff>657225</xdr:colOff>
      <xdr:row>61</xdr:row>
      <xdr:rowOff>121696</xdr:rowOff>
    </xdr:to>
    <xdr:pic>
      <xdr:nvPicPr>
        <xdr:cNvPr id="20" name="Label1" hidden="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0946130"/>
          <a:ext cx="946785" cy="22456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60</xdr:row>
      <xdr:rowOff>133350</xdr:rowOff>
    </xdr:from>
    <xdr:ext cx="914400" cy="228600"/>
    <xdr:pic>
      <xdr:nvPicPr>
        <xdr:cNvPr id="21" name="Label1" hidden="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0946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110</xdr:row>
      <xdr:rowOff>133350</xdr:rowOff>
    </xdr:from>
    <xdr:to>
      <xdr:col>4</xdr:col>
      <xdr:colOff>657225</xdr:colOff>
      <xdr:row>111</xdr:row>
      <xdr:rowOff>118110</xdr:rowOff>
    </xdr:to>
    <xdr:pic>
      <xdr:nvPicPr>
        <xdr:cNvPr id="22" name="Label1" hidden="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009013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110</xdr:row>
      <xdr:rowOff>133350</xdr:rowOff>
    </xdr:from>
    <xdr:ext cx="914400" cy="228600"/>
    <xdr:pic>
      <xdr:nvPicPr>
        <xdr:cNvPr id="23" name="Label1" hidden="1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0090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160</xdr:row>
      <xdr:rowOff>133350</xdr:rowOff>
    </xdr:from>
    <xdr:to>
      <xdr:col>4</xdr:col>
      <xdr:colOff>657225</xdr:colOff>
      <xdr:row>160</xdr:row>
      <xdr:rowOff>179070</xdr:rowOff>
    </xdr:to>
    <xdr:pic>
      <xdr:nvPicPr>
        <xdr:cNvPr id="24" name="Label1" hidden="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234130"/>
          <a:ext cx="946785" cy="457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160</xdr:row>
      <xdr:rowOff>133350</xdr:rowOff>
    </xdr:from>
    <xdr:ext cx="914400" cy="228600"/>
    <xdr:pic>
      <xdr:nvPicPr>
        <xdr:cNvPr id="25" name="Label1" hidden="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234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143</xdr:row>
      <xdr:rowOff>133350</xdr:rowOff>
    </xdr:from>
    <xdr:to>
      <xdr:col>4</xdr:col>
      <xdr:colOff>652294</xdr:colOff>
      <xdr:row>144</xdr:row>
      <xdr:rowOff>118110</xdr:rowOff>
    </xdr:to>
    <xdr:pic>
      <xdr:nvPicPr>
        <xdr:cNvPr id="26" name="Label1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612517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143</xdr:row>
      <xdr:rowOff>133350</xdr:rowOff>
    </xdr:from>
    <xdr:ext cx="914400" cy="228600"/>
    <xdr:pic>
      <xdr:nvPicPr>
        <xdr:cNvPr id="27" name="Label1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6125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163</xdr:row>
      <xdr:rowOff>133350</xdr:rowOff>
    </xdr:from>
    <xdr:to>
      <xdr:col>4</xdr:col>
      <xdr:colOff>652294</xdr:colOff>
      <xdr:row>164</xdr:row>
      <xdr:rowOff>118110</xdr:rowOff>
    </xdr:to>
    <xdr:pic>
      <xdr:nvPicPr>
        <xdr:cNvPr id="28" name="Label1" hidden="1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78277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163</xdr:row>
      <xdr:rowOff>133350</xdr:rowOff>
    </xdr:from>
    <xdr:ext cx="914400" cy="228600"/>
    <xdr:pic>
      <xdr:nvPicPr>
        <xdr:cNvPr id="29" name="Label1" hidden="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7827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10</xdr:row>
      <xdr:rowOff>133350</xdr:rowOff>
    </xdr:from>
    <xdr:to>
      <xdr:col>4</xdr:col>
      <xdr:colOff>652294</xdr:colOff>
      <xdr:row>11</xdr:row>
      <xdr:rowOff>118110</xdr:rowOff>
    </xdr:to>
    <xdr:pic>
      <xdr:nvPicPr>
        <xdr:cNvPr id="30" name="Label1" hidden="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10</xdr:row>
      <xdr:rowOff>133350</xdr:rowOff>
    </xdr:from>
    <xdr:ext cx="914400" cy="228600"/>
    <xdr:pic>
      <xdr:nvPicPr>
        <xdr:cNvPr id="31" name="Label1" hidden="1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30</xdr:row>
      <xdr:rowOff>133350</xdr:rowOff>
    </xdr:from>
    <xdr:to>
      <xdr:col>4</xdr:col>
      <xdr:colOff>652294</xdr:colOff>
      <xdr:row>31</xdr:row>
      <xdr:rowOff>118110</xdr:rowOff>
    </xdr:to>
    <xdr:pic>
      <xdr:nvPicPr>
        <xdr:cNvPr id="32" name="Label1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54597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30</xdr:row>
      <xdr:rowOff>133350</xdr:rowOff>
    </xdr:from>
    <xdr:ext cx="914400" cy="228600"/>
    <xdr:pic>
      <xdr:nvPicPr>
        <xdr:cNvPr id="33" name="Label1" hidden="1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54597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50</xdr:row>
      <xdr:rowOff>133350</xdr:rowOff>
    </xdr:from>
    <xdr:to>
      <xdr:col>4</xdr:col>
      <xdr:colOff>652294</xdr:colOff>
      <xdr:row>51</xdr:row>
      <xdr:rowOff>118110</xdr:rowOff>
    </xdr:to>
    <xdr:pic>
      <xdr:nvPicPr>
        <xdr:cNvPr id="34" name="Label1" hidden="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1173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50</xdr:row>
      <xdr:rowOff>133350</xdr:rowOff>
    </xdr:from>
    <xdr:ext cx="914400" cy="228600"/>
    <xdr:pic>
      <xdr:nvPicPr>
        <xdr:cNvPr id="35" name="Label1" hidden="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91173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70</xdr:row>
      <xdr:rowOff>133350</xdr:rowOff>
    </xdr:from>
    <xdr:to>
      <xdr:col>4</xdr:col>
      <xdr:colOff>652294</xdr:colOff>
      <xdr:row>71</xdr:row>
      <xdr:rowOff>118110</xdr:rowOff>
    </xdr:to>
    <xdr:pic>
      <xdr:nvPicPr>
        <xdr:cNvPr id="36" name="Label1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27749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70</xdr:row>
      <xdr:rowOff>133350</xdr:rowOff>
    </xdr:from>
    <xdr:ext cx="914400" cy="228600"/>
    <xdr:pic>
      <xdr:nvPicPr>
        <xdr:cNvPr id="37" name="Label1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27749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90</xdr:row>
      <xdr:rowOff>133350</xdr:rowOff>
    </xdr:from>
    <xdr:to>
      <xdr:col>4</xdr:col>
      <xdr:colOff>652294</xdr:colOff>
      <xdr:row>91</xdr:row>
      <xdr:rowOff>121696</xdr:rowOff>
    </xdr:to>
    <xdr:pic>
      <xdr:nvPicPr>
        <xdr:cNvPr id="38" name="Label1" hidden="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6432530"/>
          <a:ext cx="941854" cy="22456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90</xdr:row>
      <xdr:rowOff>133350</xdr:rowOff>
    </xdr:from>
    <xdr:ext cx="914400" cy="228600"/>
    <xdr:pic>
      <xdr:nvPicPr>
        <xdr:cNvPr id="39" name="Label1" hidden="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64325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110</xdr:row>
      <xdr:rowOff>133350</xdr:rowOff>
    </xdr:from>
    <xdr:to>
      <xdr:col>4</xdr:col>
      <xdr:colOff>652294</xdr:colOff>
      <xdr:row>111</xdr:row>
      <xdr:rowOff>118110</xdr:rowOff>
    </xdr:to>
    <xdr:pic>
      <xdr:nvPicPr>
        <xdr:cNvPr id="40" name="Label1" hidden="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00901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110</xdr:row>
      <xdr:rowOff>133350</xdr:rowOff>
    </xdr:from>
    <xdr:ext cx="914400" cy="228600"/>
    <xdr:pic>
      <xdr:nvPicPr>
        <xdr:cNvPr id="41" name="Label1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0090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130</xdr:row>
      <xdr:rowOff>133350</xdr:rowOff>
    </xdr:from>
    <xdr:to>
      <xdr:col>4</xdr:col>
      <xdr:colOff>652294</xdr:colOff>
      <xdr:row>131</xdr:row>
      <xdr:rowOff>119455</xdr:rowOff>
    </xdr:to>
    <xdr:pic>
      <xdr:nvPicPr>
        <xdr:cNvPr id="42" name="Label1" hidden="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3747730"/>
          <a:ext cx="941854" cy="222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130</xdr:row>
      <xdr:rowOff>133350</xdr:rowOff>
    </xdr:from>
    <xdr:ext cx="914400" cy="228600"/>
    <xdr:pic>
      <xdr:nvPicPr>
        <xdr:cNvPr id="43" name="Label1" hidden="1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37477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150</xdr:row>
      <xdr:rowOff>133350</xdr:rowOff>
    </xdr:from>
    <xdr:to>
      <xdr:col>4</xdr:col>
      <xdr:colOff>652294</xdr:colOff>
      <xdr:row>151</xdr:row>
      <xdr:rowOff>118110</xdr:rowOff>
    </xdr:to>
    <xdr:pic>
      <xdr:nvPicPr>
        <xdr:cNvPr id="44" name="Label1" hidden="1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7405330"/>
          <a:ext cx="941854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150</xdr:row>
      <xdr:rowOff>133350</xdr:rowOff>
    </xdr:from>
    <xdr:ext cx="914400" cy="228600"/>
    <xdr:pic>
      <xdr:nvPicPr>
        <xdr:cNvPr id="45" name="Label1" hidden="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74053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10</xdr:row>
      <xdr:rowOff>133350</xdr:rowOff>
    </xdr:from>
    <xdr:to>
      <xdr:col>4</xdr:col>
      <xdr:colOff>657225</xdr:colOff>
      <xdr:row>11</xdr:row>
      <xdr:rowOff>118110</xdr:rowOff>
    </xdr:to>
    <xdr:pic>
      <xdr:nvPicPr>
        <xdr:cNvPr id="46" name="Label1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10</xdr:row>
      <xdr:rowOff>133350</xdr:rowOff>
    </xdr:from>
    <xdr:ext cx="914400" cy="228600"/>
    <xdr:pic>
      <xdr:nvPicPr>
        <xdr:cNvPr id="47" name="Label1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19</xdr:row>
      <xdr:rowOff>133350</xdr:rowOff>
    </xdr:from>
    <xdr:to>
      <xdr:col>4</xdr:col>
      <xdr:colOff>657225</xdr:colOff>
      <xdr:row>20</xdr:row>
      <xdr:rowOff>118110</xdr:rowOff>
    </xdr:to>
    <xdr:pic>
      <xdr:nvPicPr>
        <xdr:cNvPr id="48" name="Label1" hidden="1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344805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19</xdr:row>
      <xdr:rowOff>133350</xdr:rowOff>
    </xdr:from>
    <xdr:ext cx="914400" cy="228600"/>
    <xdr:pic>
      <xdr:nvPicPr>
        <xdr:cNvPr id="49" name="Label1" hidden="1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34480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28</xdr:row>
      <xdr:rowOff>133350</xdr:rowOff>
    </xdr:from>
    <xdr:to>
      <xdr:col>4</xdr:col>
      <xdr:colOff>657225</xdr:colOff>
      <xdr:row>29</xdr:row>
      <xdr:rowOff>118110</xdr:rowOff>
    </xdr:to>
    <xdr:pic>
      <xdr:nvPicPr>
        <xdr:cNvPr id="50" name="Label1" hidden="1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509397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28</xdr:row>
      <xdr:rowOff>133350</xdr:rowOff>
    </xdr:from>
    <xdr:ext cx="914400" cy="228600"/>
    <xdr:pic>
      <xdr:nvPicPr>
        <xdr:cNvPr id="51" name="Label1" hidden="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50939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37</xdr:row>
      <xdr:rowOff>133350</xdr:rowOff>
    </xdr:from>
    <xdr:to>
      <xdr:col>4</xdr:col>
      <xdr:colOff>657225</xdr:colOff>
      <xdr:row>38</xdr:row>
      <xdr:rowOff>118110</xdr:rowOff>
    </xdr:to>
    <xdr:pic>
      <xdr:nvPicPr>
        <xdr:cNvPr id="52" name="Label1" hidden="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673989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37</xdr:row>
      <xdr:rowOff>133350</xdr:rowOff>
    </xdr:from>
    <xdr:ext cx="914400" cy="228600"/>
    <xdr:pic>
      <xdr:nvPicPr>
        <xdr:cNvPr id="53" name="Label1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67398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46</xdr:row>
      <xdr:rowOff>133350</xdr:rowOff>
    </xdr:from>
    <xdr:to>
      <xdr:col>4</xdr:col>
      <xdr:colOff>657225</xdr:colOff>
      <xdr:row>47</xdr:row>
      <xdr:rowOff>118110</xdr:rowOff>
    </xdr:to>
    <xdr:pic>
      <xdr:nvPicPr>
        <xdr:cNvPr id="54" name="Label1" hidden="1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838581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46</xdr:row>
      <xdr:rowOff>133350</xdr:rowOff>
    </xdr:from>
    <xdr:ext cx="914400" cy="228600"/>
    <xdr:pic>
      <xdr:nvPicPr>
        <xdr:cNvPr id="55" name="Label1" hidden="1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83858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55</xdr:row>
      <xdr:rowOff>133350</xdr:rowOff>
    </xdr:from>
    <xdr:to>
      <xdr:col>4</xdr:col>
      <xdr:colOff>657225</xdr:colOff>
      <xdr:row>56</xdr:row>
      <xdr:rowOff>118110</xdr:rowOff>
    </xdr:to>
    <xdr:pic>
      <xdr:nvPicPr>
        <xdr:cNvPr id="56" name="Label1" hidden="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003173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55</xdr:row>
      <xdr:rowOff>133350</xdr:rowOff>
    </xdr:from>
    <xdr:ext cx="914400" cy="228600"/>
    <xdr:pic>
      <xdr:nvPicPr>
        <xdr:cNvPr id="57" name="Label1" hidden="1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00317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64</xdr:row>
      <xdr:rowOff>133350</xdr:rowOff>
    </xdr:from>
    <xdr:to>
      <xdr:col>4</xdr:col>
      <xdr:colOff>657225</xdr:colOff>
      <xdr:row>65</xdr:row>
      <xdr:rowOff>118110</xdr:rowOff>
    </xdr:to>
    <xdr:pic>
      <xdr:nvPicPr>
        <xdr:cNvPr id="58" name="Label1" hidden="1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67765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64</xdr:row>
      <xdr:rowOff>133350</xdr:rowOff>
    </xdr:from>
    <xdr:ext cx="914400" cy="228600"/>
    <xdr:pic>
      <xdr:nvPicPr>
        <xdr:cNvPr id="59" name="Label1" hidden="1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16776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73</xdr:row>
      <xdr:rowOff>133350</xdr:rowOff>
    </xdr:from>
    <xdr:to>
      <xdr:col>4</xdr:col>
      <xdr:colOff>657225</xdr:colOff>
      <xdr:row>74</xdr:row>
      <xdr:rowOff>118110</xdr:rowOff>
    </xdr:to>
    <xdr:pic>
      <xdr:nvPicPr>
        <xdr:cNvPr id="60" name="Label1" hidden="1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332357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73</xdr:row>
      <xdr:rowOff>133350</xdr:rowOff>
    </xdr:from>
    <xdr:ext cx="914400" cy="228600"/>
    <xdr:pic>
      <xdr:nvPicPr>
        <xdr:cNvPr id="61" name="Label1" hidden="1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33235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82</xdr:row>
      <xdr:rowOff>133350</xdr:rowOff>
    </xdr:from>
    <xdr:to>
      <xdr:col>4</xdr:col>
      <xdr:colOff>657225</xdr:colOff>
      <xdr:row>83</xdr:row>
      <xdr:rowOff>118110</xdr:rowOff>
    </xdr:to>
    <xdr:pic>
      <xdr:nvPicPr>
        <xdr:cNvPr id="62" name="Label1" hidden="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496949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82</xdr:row>
      <xdr:rowOff>133350</xdr:rowOff>
    </xdr:from>
    <xdr:ext cx="914400" cy="228600"/>
    <xdr:pic>
      <xdr:nvPicPr>
        <xdr:cNvPr id="63" name="Label1" hidden="1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49694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91</xdr:row>
      <xdr:rowOff>133350</xdr:rowOff>
    </xdr:from>
    <xdr:to>
      <xdr:col>4</xdr:col>
      <xdr:colOff>657225</xdr:colOff>
      <xdr:row>92</xdr:row>
      <xdr:rowOff>118110</xdr:rowOff>
    </xdr:to>
    <xdr:pic>
      <xdr:nvPicPr>
        <xdr:cNvPr id="64" name="Label1" hidden="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661541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91</xdr:row>
      <xdr:rowOff>133350</xdr:rowOff>
    </xdr:from>
    <xdr:ext cx="914400" cy="228600"/>
    <xdr:pic>
      <xdr:nvPicPr>
        <xdr:cNvPr id="65" name="Label1" hidden="1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66154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100</xdr:row>
      <xdr:rowOff>133350</xdr:rowOff>
    </xdr:from>
    <xdr:to>
      <xdr:col>4</xdr:col>
      <xdr:colOff>657225</xdr:colOff>
      <xdr:row>101</xdr:row>
      <xdr:rowOff>118110</xdr:rowOff>
    </xdr:to>
    <xdr:pic>
      <xdr:nvPicPr>
        <xdr:cNvPr id="66" name="Label1" hidden="1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26133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100</xdr:row>
      <xdr:rowOff>133350</xdr:rowOff>
    </xdr:from>
    <xdr:ext cx="914400" cy="228600"/>
    <xdr:pic>
      <xdr:nvPicPr>
        <xdr:cNvPr id="67" name="Label1" hidden="1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82613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109</xdr:row>
      <xdr:rowOff>133350</xdr:rowOff>
    </xdr:from>
    <xdr:to>
      <xdr:col>4</xdr:col>
      <xdr:colOff>657225</xdr:colOff>
      <xdr:row>110</xdr:row>
      <xdr:rowOff>118110</xdr:rowOff>
    </xdr:to>
    <xdr:pic>
      <xdr:nvPicPr>
        <xdr:cNvPr id="68" name="Label1" hidden="1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990725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109</xdr:row>
      <xdr:rowOff>133350</xdr:rowOff>
    </xdr:from>
    <xdr:ext cx="914400" cy="228600"/>
    <xdr:pic>
      <xdr:nvPicPr>
        <xdr:cNvPr id="69" name="Label1" hidden="1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199072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118</xdr:row>
      <xdr:rowOff>133350</xdr:rowOff>
    </xdr:from>
    <xdr:to>
      <xdr:col>4</xdr:col>
      <xdr:colOff>657225</xdr:colOff>
      <xdr:row>119</xdr:row>
      <xdr:rowOff>118110</xdr:rowOff>
    </xdr:to>
    <xdr:pic>
      <xdr:nvPicPr>
        <xdr:cNvPr id="70" name="Label1" hidden="1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155317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118</xdr:row>
      <xdr:rowOff>133350</xdr:rowOff>
    </xdr:from>
    <xdr:ext cx="914400" cy="228600"/>
    <xdr:pic>
      <xdr:nvPicPr>
        <xdr:cNvPr id="71" name="Label1" hidden="1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1553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127</xdr:row>
      <xdr:rowOff>133350</xdr:rowOff>
    </xdr:from>
    <xdr:to>
      <xdr:col>4</xdr:col>
      <xdr:colOff>657225</xdr:colOff>
      <xdr:row>128</xdr:row>
      <xdr:rowOff>118110</xdr:rowOff>
    </xdr:to>
    <xdr:pic>
      <xdr:nvPicPr>
        <xdr:cNvPr id="72" name="Label1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319909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127</xdr:row>
      <xdr:rowOff>133350</xdr:rowOff>
    </xdr:from>
    <xdr:ext cx="914400" cy="228600"/>
    <xdr:pic>
      <xdr:nvPicPr>
        <xdr:cNvPr id="73" name="Label1" hidden="1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31990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136</xdr:row>
      <xdr:rowOff>133350</xdr:rowOff>
    </xdr:from>
    <xdr:to>
      <xdr:col>4</xdr:col>
      <xdr:colOff>657225</xdr:colOff>
      <xdr:row>137</xdr:row>
      <xdr:rowOff>118110</xdr:rowOff>
    </xdr:to>
    <xdr:pic>
      <xdr:nvPicPr>
        <xdr:cNvPr id="74" name="Label1" hidden="1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484501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136</xdr:row>
      <xdr:rowOff>133350</xdr:rowOff>
    </xdr:from>
    <xdr:ext cx="914400" cy="228600"/>
    <xdr:pic>
      <xdr:nvPicPr>
        <xdr:cNvPr id="75" name="Label1" hidden="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48450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145</xdr:row>
      <xdr:rowOff>133350</xdr:rowOff>
    </xdr:from>
    <xdr:to>
      <xdr:col>4</xdr:col>
      <xdr:colOff>657225</xdr:colOff>
      <xdr:row>146</xdr:row>
      <xdr:rowOff>118110</xdr:rowOff>
    </xdr:to>
    <xdr:pic>
      <xdr:nvPicPr>
        <xdr:cNvPr id="76" name="Label1" hidden="1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649093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145</xdr:row>
      <xdr:rowOff>133350</xdr:rowOff>
    </xdr:from>
    <xdr:ext cx="914400" cy="228600"/>
    <xdr:pic>
      <xdr:nvPicPr>
        <xdr:cNvPr id="77" name="Label1" hidden="1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64909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154</xdr:row>
      <xdr:rowOff>133350</xdr:rowOff>
    </xdr:from>
    <xdr:to>
      <xdr:col>4</xdr:col>
      <xdr:colOff>657225</xdr:colOff>
      <xdr:row>155</xdr:row>
      <xdr:rowOff>118110</xdr:rowOff>
    </xdr:to>
    <xdr:pic>
      <xdr:nvPicPr>
        <xdr:cNvPr id="78" name="Label1" hidden="1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813685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154</xdr:row>
      <xdr:rowOff>133350</xdr:rowOff>
    </xdr:from>
    <xdr:ext cx="914400" cy="228600"/>
    <xdr:pic>
      <xdr:nvPicPr>
        <xdr:cNvPr id="79" name="Label1" hidden="1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81368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3</xdr:col>
      <xdr:colOff>914400</xdr:colOff>
      <xdr:row>163</xdr:row>
      <xdr:rowOff>133350</xdr:rowOff>
    </xdr:from>
    <xdr:to>
      <xdr:col>4</xdr:col>
      <xdr:colOff>657225</xdr:colOff>
      <xdr:row>164</xdr:row>
      <xdr:rowOff>118110</xdr:rowOff>
    </xdr:to>
    <xdr:pic>
      <xdr:nvPicPr>
        <xdr:cNvPr id="80" name="Label1" hidden="1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78277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914400</xdr:colOff>
      <xdr:row>163</xdr:row>
      <xdr:rowOff>133350</xdr:rowOff>
    </xdr:from>
    <xdr:ext cx="914400" cy="228600"/>
    <xdr:pic>
      <xdr:nvPicPr>
        <xdr:cNvPr id="81" name="Label1" hidden="1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4320" y="297827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2" name="Label1" hidden="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3" name="Label1" hidden="1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4" name="Label1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5" name="Label1" hidden="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6" name="Label1" hidden="1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0</xdr:row>
      <xdr:rowOff>0</xdr:rowOff>
    </xdr:from>
    <xdr:ext cx="911678" cy="228600"/>
    <xdr:pic>
      <xdr:nvPicPr>
        <xdr:cNvPr id="87" name="Label1" hidden="1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</xdr:row>
      <xdr:rowOff>0</xdr:rowOff>
    </xdr:from>
    <xdr:ext cx="911678" cy="228600"/>
    <xdr:pic>
      <xdr:nvPicPr>
        <xdr:cNvPr id="88" name="Label1" hidden="1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</xdr:row>
      <xdr:rowOff>0</xdr:rowOff>
    </xdr:from>
    <xdr:ext cx="911678" cy="228600"/>
    <xdr:pic>
      <xdr:nvPicPr>
        <xdr:cNvPr id="89" name="Label1" hidden="1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133350</xdr:rowOff>
    </xdr:from>
    <xdr:ext cx="948017" cy="405653"/>
    <xdr:pic>
      <xdr:nvPicPr>
        <xdr:cNvPr id="90" name="Label1" hidden="1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350770"/>
          <a:ext cx="948017" cy="40565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3</xdr:row>
      <xdr:rowOff>133350</xdr:rowOff>
    </xdr:from>
    <xdr:ext cx="949923" cy="220980"/>
    <xdr:pic>
      <xdr:nvPicPr>
        <xdr:cNvPr id="91" name="Label1" hidden="1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49923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3</xdr:row>
      <xdr:rowOff>133350</xdr:rowOff>
    </xdr:from>
    <xdr:ext cx="914400" cy="228600"/>
    <xdr:pic>
      <xdr:nvPicPr>
        <xdr:cNvPr id="92" name="Label1" hidden="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3</xdr:row>
      <xdr:rowOff>133350</xdr:rowOff>
    </xdr:from>
    <xdr:ext cx="944992" cy="217394"/>
    <xdr:pic>
      <xdr:nvPicPr>
        <xdr:cNvPr id="93" name="Label1" hidden="1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3</xdr:row>
      <xdr:rowOff>133350</xdr:rowOff>
    </xdr:from>
    <xdr:ext cx="914400" cy="228600"/>
    <xdr:pic>
      <xdr:nvPicPr>
        <xdr:cNvPr id="94" name="Label1" hidden="1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95" name="Label1" hidden="1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96" name="Label1" hidden="1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97" name="Label1" hidden="1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98" name="Label1" hidden="1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99" name="Label1" hidden="1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8</xdr:row>
      <xdr:rowOff>0</xdr:rowOff>
    </xdr:from>
    <xdr:ext cx="911678" cy="228600"/>
    <xdr:pic>
      <xdr:nvPicPr>
        <xdr:cNvPr id="100" name="Label1" hidden="1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0</xdr:rowOff>
    </xdr:from>
    <xdr:ext cx="911678" cy="228600"/>
    <xdr:pic>
      <xdr:nvPicPr>
        <xdr:cNvPr id="101" name="Label1" hidden="1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7660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0</xdr:rowOff>
    </xdr:from>
    <xdr:ext cx="911678" cy="228600"/>
    <xdr:pic>
      <xdr:nvPicPr>
        <xdr:cNvPr id="102" name="Label1" hidden="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7660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133350</xdr:rowOff>
    </xdr:from>
    <xdr:ext cx="948017" cy="405653"/>
    <xdr:pic>
      <xdr:nvPicPr>
        <xdr:cNvPr id="103" name="Label1" hidden="1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813810"/>
          <a:ext cx="948017" cy="40565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11</xdr:row>
      <xdr:rowOff>133350</xdr:rowOff>
    </xdr:from>
    <xdr:ext cx="949923" cy="220980"/>
    <xdr:pic>
      <xdr:nvPicPr>
        <xdr:cNvPr id="104" name="Label1" hidden="1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49923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11</xdr:row>
      <xdr:rowOff>133350</xdr:rowOff>
    </xdr:from>
    <xdr:ext cx="914400" cy="228600"/>
    <xdr:pic>
      <xdr:nvPicPr>
        <xdr:cNvPr id="105" name="Label1" hidden="1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11</xdr:row>
      <xdr:rowOff>133350</xdr:rowOff>
    </xdr:from>
    <xdr:ext cx="944992" cy="217394"/>
    <xdr:pic>
      <xdr:nvPicPr>
        <xdr:cNvPr id="106" name="Label1" hidden="1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11</xdr:row>
      <xdr:rowOff>133350</xdr:rowOff>
    </xdr:from>
    <xdr:ext cx="914400" cy="228600"/>
    <xdr:pic>
      <xdr:nvPicPr>
        <xdr:cNvPr id="107" name="Label1" hidden="1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23</xdr:row>
      <xdr:rowOff>133350</xdr:rowOff>
    </xdr:from>
    <xdr:ext cx="944992" cy="217394"/>
    <xdr:pic>
      <xdr:nvPicPr>
        <xdr:cNvPr id="108" name="Label1" hidden="1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545973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23</xdr:row>
      <xdr:rowOff>133350</xdr:rowOff>
    </xdr:from>
    <xdr:ext cx="914400" cy="228600"/>
    <xdr:pic>
      <xdr:nvPicPr>
        <xdr:cNvPr id="109" name="Label1" hidden="1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54597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4</xdr:row>
      <xdr:rowOff>0</xdr:rowOff>
    </xdr:from>
    <xdr:ext cx="948017" cy="584947"/>
    <xdr:pic>
      <xdr:nvPicPr>
        <xdr:cNvPr id="110" name="Label1" hidden="1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754380"/>
          <a:ext cx="948017" cy="5849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4</xdr:row>
      <xdr:rowOff>0</xdr:rowOff>
    </xdr:from>
    <xdr:ext cx="948017" cy="584947"/>
    <xdr:pic>
      <xdr:nvPicPr>
        <xdr:cNvPr id="111" name="Label1" hidden="1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754380"/>
          <a:ext cx="948017" cy="5849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5</xdr:row>
      <xdr:rowOff>0</xdr:rowOff>
    </xdr:from>
    <xdr:ext cx="911678" cy="228600"/>
    <xdr:pic>
      <xdr:nvPicPr>
        <xdr:cNvPr id="112" name="Label1" hidden="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5</xdr:row>
      <xdr:rowOff>0</xdr:rowOff>
    </xdr:from>
    <xdr:ext cx="911678" cy="228600"/>
    <xdr:pic>
      <xdr:nvPicPr>
        <xdr:cNvPr id="113" name="Label1" hidden="1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5</xdr:row>
      <xdr:rowOff>0</xdr:rowOff>
    </xdr:from>
    <xdr:ext cx="911678" cy="228600"/>
    <xdr:pic>
      <xdr:nvPicPr>
        <xdr:cNvPr id="114" name="Label1" hidden="1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5</xdr:row>
      <xdr:rowOff>0</xdr:rowOff>
    </xdr:from>
    <xdr:ext cx="911678" cy="228600"/>
    <xdr:pic>
      <xdr:nvPicPr>
        <xdr:cNvPr id="115" name="Label1" hidden="1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9372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16" name="Label1" hidden="1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17" name="Label1" hidden="1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18" name="Label1" hidden="1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19" name="Label1" hidden="1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20" name="Label1" hidden="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6</xdr:row>
      <xdr:rowOff>0</xdr:rowOff>
    </xdr:from>
    <xdr:ext cx="911678" cy="228600"/>
    <xdr:pic>
      <xdr:nvPicPr>
        <xdr:cNvPr id="121" name="Label1" hidden="1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1201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7</xdr:row>
      <xdr:rowOff>0</xdr:rowOff>
    </xdr:from>
    <xdr:ext cx="911678" cy="228600"/>
    <xdr:pic>
      <xdr:nvPicPr>
        <xdr:cNvPr id="122" name="Label1" hidden="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7</xdr:row>
      <xdr:rowOff>0</xdr:rowOff>
    </xdr:from>
    <xdr:ext cx="911678" cy="228600"/>
    <xdr:pic>
      <xdr:nvPicPr>
        <xdr:cNvPr id="123" name="Label1" hidden="1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30302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12</xdr:row>
      <xdr:rowOff>133350</xdr:rowOff>
    </xdr:from>
    <xdr:ext cx="948017" cy="405653"/>
    <xdr:pic>
      <xdr:nvPicPr>
        <xdr:cNvPr id="124" name="Label1" hidden="1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350770"/>
          <a:ext cx="948017" cy="40565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133350</xdr:rowOff>
    </xdr:from>
    <xdr:ext cx="949923" cy="220980"/>
    <xdr:pic>
      <xdr:nvPicPr>
        <xdr:cNvPr id="125" name="Label1" hidden="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49923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133350</xdr:rowOff>
    </xdr:from>
    <xdr:ext cx="914400" cy="228600"/>
    <xdr:pic>
      <xdr:nvPicPr>
        <xdr:cNvPr id="126" name="Label1" hidden="1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133350</xdr:rowOff>
    </xdr:from>
    <xdr:ext cx="944992" cy="217394"/>
    <xdr:pic>
      <xdr:nvPicPr>
        <xdr:cNvPr id="127" name="Label1" hidden="1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9</xdr:row>
      <xdr:rowOff>133350</xdr:rowOff>
    </xdr:from>
    <xdr:ext cx="914400" cy="228600"/>
    <xdr:pic>
      <xdr:nvPicPr>
        <xdr:cNvPr id="128" name="Label1" hidden="1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18021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29" name="Label1" hidden="1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30" name="Label1" hidden="1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31" name="Label1" hidden="1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32" name="Label1" hidden="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33" name="Label1" hidden="1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14</xdr:row>
      <xdr:rowOff>0</xdr:rowOff>
    </xdr:from>
    <xdr:ext cx="911678" cy="228600"/>
    <xdr:pic>
      <xdr:nvPicPr>
        <xdr:cNvPr id="134" name="Label1" hidden="1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5831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15</xdr:row>
      <xdr:rowOff>0</xdr:rowOff>
    </xdr:from>
    <xdr:ext cx="911678" cy="228600"/>
    <xdr:pic>
      <xdr:nvPicPr>
        <xdr:cNvPr id="135" name="Label1" hidden="1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7660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15</xdr:row>
      <xdr:rowOff>0</xdr:rowOff>
    </xdr:from>
    <xdr:ext cx="911678" cy="228600"/>
    <xdr:pic>
      <xdr:nvPicPr>
        <xdr:cNvPr id="136" name="Label1" hidden="1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27660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20</xdr:row>
      <xdr:rowOff>133350</xdr:rowOff>
    </xdr:from>
    <xdr:ext cx="948017" cy="405653"/>
    <xdr:pic>
      <xdr:nvPicPr>
        <xdr:cNvPr id="137" name="Label1" hidden="1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813810"/>
          <a:ext cx="948017" cy="40565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17</xdr:row>
      <xdr:rowOff>133350</xdr:rowOff>
    </xdr:from>
    <xdr:ext cx="949923" cy="220980"/>
    <xdr:pic>
      <xdr:nvPicPr>
        <xdr:cNvPr id="138" name="Label1" hidden="1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49923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17</xdr:row>
      <xdr:rowOff>133350</xdr:rowOff>
    </xdr:from>
    <xdr:ext cx="914400" cy="228600"/>
    <xdr:pic>
      <xdr:nvPicPr>
        <xdr:cNvPr id="139" name="Label1" hidden="1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17</xdr:row>
      <xdr:rowOff>133350</xdr:rowOff>
    </xdr:from>
    <xdr:ext cx="944992" cy="217394"/>
    <xdr:pic>
      <xdr:nvPicPr>
        <xdr:cNvPr id="140" name="Label1" hidden="1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17</xdr:row>
      <xdr:rowOff>133350</xdr:rowOff>
    </xdr:from>
    <xdr:ext cx="914400" cy="228600"/>
    <xdr:pic>
      <xdr:nvPicPr>
        <xdr:cNvPr id="141" name="Label1" hidden="1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32651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29</xdr:row>
      <xdr:rowOff>133350</xdr:rowOff>
    </xdr:from>
    <xdr:ext cx="944992" cy="217394"/>
    <xdr:pic>
      <xdr:nvPicPr>
        <xdr:cNvPr id="142" name="Label1" hidden="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5459730"/>
          <a:ext cx="944992" cy="21739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914400</xdr:colOff>
      <xdr:row>29</xdr:row>
      <xdr:rowOff>133350</xdr:rowOff>
    </xdr:from>
    <xdr:ext cx="914400" cy="228600"/>
    <xdr:pic>
      <xdr:nvPicPr>
        <xdr:cNvPr id="143" name="Label1" hidden="1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54597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5</xdr:row>
      <xdr:rowOff>0</xdr:rowOff>
    </xdr:from>
    <xdr:to>
      <xdr:col>3</xdr:col>
      <xdr:colOff>944879</xdr:colOff>
      <xdr:row>5</xdr:row>
      <xdr:rowOff>168985</xdr:rowOff>
    </xdr:to>
    <xdr:pic>
      <xdr:nvPicPr>
        <xdr:cNvPr id="2" name="Label1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914400"/>
          <a:ext cx="944879" cy="1689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914400</xdr:colOff>
      <xdr:row>5</xdr:row>
      <xdr:rowOff>0</xdr:rowOff>
    </xdr:from>
    <xdr:to>
      <xdr:col>3</xdr:col>
      <xdr:colOff>944879</xdr:colOff>
      <xdr:row>5</xdr:row>
      <xdr:rowOff>168985</xdr:rowOff>
    </xdr:to>
    <xdr:pic>
      <xdr:nvPicPr>
        <xdr:cNvPr id="3" name="Label1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914400"/>
          <a:ext cx="944879" cy="1689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6</xdr:row>
      <xdr:rowOff>0</xdr:rowOff>
    </xdr:from>
    <xdr:ext cx="911678" cy="228600"/>
    <xdr:pic>
      <xdr:nvPicPr>
        <xdr:cNvPr id="4" name="Label1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972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6</xdr:row>
      <xdr:rowOff>0</xdr:rowOff>
    </xdr:from>
    <xdr:ext cx="911678" cy="228600"/>
    <xdr:pic>
      <xdr:nvPicPr>
        <xdr:cNvPr id="5" name="Label1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972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6</xdr:row>
      <xdr:rowOff>0</xdr:rowOff>
    </xdr:from>
    <xdr:ext cx="911678" cy="228600"/>
    <xdr:pic>
      <xdr:nvPicPr>
        <xdr:cNvPr id="6" name="Label1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972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6</xdr:row>
      <xdr:rowOff>0</xdr:rowOff>
    </xdr:from>
    <xdr:ext cx="911678" cy="228600"/>
    <xdr:pic>
      <xdr:nvPicPr>
        <xdr:cNvPr id="7" name="Label1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9728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8" name="Label1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9" name="Label1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10" name="Label1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11" name="Label1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12" name="Label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7</xdr:row>
      <xdr:rowOff>0</xdr:rowOff>
    </xdr:from>
    <xdr:ext cx="911678" cy="228600"/>
    <xdr:pic>
      <xdr:nvPicPr>
        <xdr:cNvPr id="13" name="Label1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8016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8</xdr:row>
      <xdr:rowOff>0</xdr:rowOff>
    </xdr:from>
    <xdr:ext cx="911678" cy="228600"/>
    <xdr:pic>
      <xdr:nvPicPr>
        <xdr:cNvPr id="14" name="Label1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4630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914400</xdr:colOff>
      <xdr:row>8</xdr:row>
      <xdr:rowOff>0</xdr:rowOff>
    </xdr:from>
    <xdr:ext cx="911678" cy="228600"/>
    <xdr:pic>
      <xdr:nvPicPr>
        <xdr:cNvPr id="15" name="Label1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463040"/>
          <a:ext cx="911678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13</xdr:row>
      <xdr:rowOff>133350</xdr:rowOff>
    </xdr:from>
    <xdr:to>
      <xdr:col>3</xdr:col>
      <xdr:colOff>944879</xdr:colOff>
      <xdr:row>14</xdr:row>
      <xdr:rowOff>115421</xdr:rowOff>
    </xdr:to>
    <xdr:pic>
      <xdr:nvPicPr>
        <xdr:cNvPr id="16" name="Label1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510790"/>
          <a:ext cx="944879" cy="1649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914400</xdr:colOff>
      <xdr:row>57</xdr:row>
      <xdr:rowOff>0</xdr:rowOff>
    </xdr:from>
    <xdr:to>
      <xdr:col>3</xdr:col>
      <xdr:colOff>944879</xdr:colOff>
      <xdr:row>57</xdr:row>
      <xdr:rowOff>167641</xdr:rowOff>
    </xdr:to>
    <xdr:pic>
      <xdr:nvPicPr>
        <xdr:cNvPr id="17" name="Label1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607040"/>
          <a:ext cx="944879" cy="16764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914400</xdr:colOff>
      <xdr:row>10</xdr:row>
      <xdr:rowOff>133350</xdr:rowOff>
    </xdr:from>
    <xdr:to>
      <xdr:col>3</xdr:col>
      <xdr:colOff>946785</xdr:colOff>
      <xdr:row>11</xdr:row>
      <xdr:rowOff>121696</xdr:rowOff>
    </xdr:to>
    <xdr:pic>
      <xdr:nvPicPr>
        <xdr:cNvPr id="18" name="Label1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46785" cy="17122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</xdr:row>
      <xdr:rowOff>133350</xdr:rowOff>
    </xdr:from>
    <xdr:ext cx="914400" cy="228600"/>
    <xdr:pic>
      <xdr:nvPicPr>
        <xdr:cNvPr id="19" name="Label1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59</xdr:row>
      <xdr:rowOff>133350</xdr:rowOff>
    </xdr:from>
    <xdr:to>
      <xdr:col>3</xdr:col>
      <xdr:colOff>946785</xdr:colOff>
      <xdr:row>60</xdr:row>
      <xdr:rowOff>121696</xdr:rowOff>
    </xdr:to>
    <xdr:pic>
      <xdr:nvPicPr>
        <xdr:cNvPr id="20" name="Label1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1106150"/>
          <a:ext cx="946785" cy="17122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59</xdr:row>
      <xdr:rowOff>133350</xdr:rowOff>
    </xdr:from>
    <xdr:ext cx="914400" cy="228600"/>
    <xdr:pic>
      <xdr:nvPicPr>
        <xdr:cNvPr id="21" name="Label1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1106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109</xdr:row>
      <xdr:rowOff>133350</xdr:rowOff>
    </xdr:from>
    <xdr:to>
      <xdr:col>3</xdr:col>
      <xdr:colOff>946785</xdr:colOff>
      <xdr:row>110</xdr:row>
      <xdr:rowOff>118110</xdr:rowOff>
    </xdr:to>
    <xdr:pic>
      <xdr:nvPicPr>
        <xdr:cNvPr id="22" name="Label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25015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109</xdr:row>
      <xdr:rowOff>133350</xdr:rowOff>
    </xdr:from>
    <xdr:ext cx="914400" cy="228600"/>
    <xdr:pic>
      <xdr:nvPicPr>
        <xdr:cNvPr id="23" name="Label1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250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159</xdr:row>
      <xdr:rowOff>133350</xdr:rowOff>
    </xdr:from>
    <xdr:to>
      <xdr:col>3</xdr:col>
      <xdr:colOff>946785</xdr:colOff>
      <xdr:row>159</xdr:row>
      <xdr:rowOff>179070</xdr:rowOff>
    </xdr:to>
    <xdr:pic>
      <xdr:nvPicPr>
        <xdr:cNvPr id="24" name="Label1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394150"/>
          <a:ext cx="946785" cy="457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159</xdr:row>
      <xdr:rowOff>133350</xdr:rowOff>
    </xdr:from>
    <xdr:ext cx="914400" cy="228600"/>
    <xdr:pic>
      <xdr:nvPicPr>
        <xdr:cNvPr id="25" name="Label1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394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142</xdr:row>
      <xdr:rowOff>133350</xdr:rowOff>
    </xdr:from>
    <xdr:to>
      <xdr:col>3</xdr:col>
      <xdr:colOff>941854</xdr:colOff>
      <xdr:row>143</xdr:row>
      <xdr:rowOff>118110</xdr:rowOff>
    </xdr:to>
    <xdr:pic>
      <xdr:nvPicPr>
        <xdr:cNvPr id="26" name="Label1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628519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142</xdr:row>
      <xdr:rowOff>133350</xdr:rowOff>
    </xdr:from>
    <xdr:ext cx="914400" cy="228600"/>
    <xdr:pic>
      <xdr:nvPicPr>
        <xdr:cNvPr id="27" name="Label1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62851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162</xdr:row>
      <xdr:rowOff>133350</xdr:rowOff>
    </xdr:from>
    <xdr:to>
      <xdr:col>3</xdr:col>
      <xdr:colOff>941854</xdr:colOff>
      <xdr:row>163</xdr:row>
      <xdr:rowOff>118110</xdr:rowOff>
    </xdr:to>
    <xdr:pic>
      <xdr:nvPicPr>
        <xdr:cNvPr id="28" name="Label1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94279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162</xdr:row>
      <xdr:rowOff>133350</xdr:rowOff>
    </xdr:from>
    <xdr:ext cx="914400" cy="228600"/>
    <xdr:pic>
      <xdr:nvPicPr>
        <xdr:cNvPr id="29" name="Label1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9427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10</xdr:row>
      <xdr:rowOff>133350</xdr:rowOff>
    </xdr:from>
    <xdr:to>
      <xdr:col>3</xdr:col>
      <xdr:colOff>941854</xdr:colOff>
      <xdr:row>11</xdr:row>
      <xdr:rowOff>118110</xdr:rowOff>
    </xdr:to>
    <xdr:pic>
      <xdr:nvPicPr>
        <xdr:cNvPr id="30" name="Label1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</xdr:row>
      <xdr:rowOff>133350</xdr:rowOff>
    </xdr:from>
    <xdr:ext cx="914400" cy="228600"/>
    <xdr:pic>
      <xdr:nvPicPr>
        <xdr:cNvPr id="31" name="Label1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29</xdr:row>
      <xdr:rowOff>133350</xdr:rowOff>
    </xdr:from>
    <xdr:to>
      <xdr:col>3</xdr:col>
      <xdr:colOff>941854</xdr:colOff>
      <xdr:row>30</xdr:row>
      <xdr:rowOff>118110</xdr:rowOff>
    </xdr:to>
    <xdr:pic>
      <xdr:nvPicPr>
        <xdr:cNvPr id="32" name="Label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56197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29</xdr:row>
      <xdr:rowOff>133350</xdr:rowOff>
    </xdr:from>
    <xdr:ext cx="914400" cy="228600"/>
    <xdr:pic>
      <xdr:nvPicPr>
        <xdr:cNvPr id="33" name="Label1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56197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49</xdr:row>
      <xdr:rowOff>133350</xdr:rowOff>
    </xdr:from>
    <xdr:to>
      <xdr:col>3</xdr:col>
      <xdr:colOff>941854</xdr:colOff>
      <xdr:row>50</xdr:row>
      <xdr:rowOff>118110</xdr:rowOff>
    </xdr:to>
    <xdr:pic>
      <xdr:nvPicPr>
        <xdr:cNvPr id="34" name="Label1" hidden="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92773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49</xdr:row>
      <xdr:rowOff>133350</xdr:rowOff>
    </xdr:from>
    <xdr:ext cx="914400" cy="228600"/>
    <xdr:pic>
      <xdr:nvPicPr>
        <xdr:cNvPr id="35" name="Label1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92773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69</xdr:row>
      <xdr:rowOff>133350</xdr:rowOff>
    </xdr:from>
    <xdr:to>
      <xdr:col>3</xdr:col>
      <xdr:colOff>941854</xdr:colOff>
      <xdr:row>70</xdr:row>
      <xdr:rowOff>118110</xdr:rowOff>
    </xdr:to>
    <xdr:pic>
      <xdr:nvPicPr>
        <xdr:cNvPr id="36" name="Label1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9349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69</xdr:row>
      <xdr:rowOff>133350</xdr:rowOff>
    </xdr:from>
    <xdr:ext cx="914400" cy="228600"/>
    <xdr:pic>
      <xdr:nvPicPr>
        <xdr:cNvPr id="37" name="Label1" hidden="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29349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89</xdr:row>
      <xdr:rowOff>133350</xdr:rowOff>
    </xdr:from>
    <xdr:to>
      <xdr:col>3</xdr:col>
      <xdr:colOff>941854</xdr:colOff>
      <xdr:row>90</xdr:row>
      <xdr:rowOff>121696</xdr:rowOff>
    </xdr:to>
    <xdr:pic>
      <xdr:nvPicPr>
        <xdr:cNvPr id="38" name="Label1" hidden="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6592550"/>
          <a:ext cx="941854" cy="17122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89</xdr:row>
      <xdr:rowOff>133350</xdr:rowOff>
    </xdr:from>
    <xdr:ext cx="914400" cy="228600"/>
    <xdr:pic>
      <xdr:nvPicPr>
        <xdr:cNvPr id="39" name="Label1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65925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109</xdr:row>
      <xdr:rowOff>133350</xdr:rowOff>
    </xdr:from>
    <xdr:to>
      <xdr:col>3</xdr:col>
      <xdr:colOff>941854</xdr:colOff>
      <xdr:row>110</xdr:row>
      <xdr:rowOff>118110</xdr:rowOff>
    </xdr:to>
    <xdr:pic>
      <xdr:nvPicPr>
        <xdr:cNvPr id="40" name="Label1" hidden="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2501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109</xdr:row>
      <xdr:rowOff>133350</xdr:rowOff>
    </xdr:from>
    <xdr:ext cx="914400" cy="228600"/>
    <xdr:pic>
      <xdr:nvPicPr>
        <xdr:cNvPr id="41" name="Label1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250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129</xdr:row>
      <xdr:rowOff>133350</xdr:rowOff>
    </xdr:from>
    <xdr:to>
      <xdr:col>3</xdr:col>
      <xdr:colOff>941854</xdr:colOff>
      <xdr:row>130</xdr:row>
      <xdr:rowOff>119455</xdr:rowOff>
    </xdr:to>
    <xdr:pic>
      <xdr:nvPicPr>
        <xdr:cNvPr id="42" name="Label1" hidden="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3907750"/>
          <a:ext cx="941854" cy="1689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129</xdr:row>
      <xdr:rowOff>133350</xdr:rowOff>
    </xdr:from>
    <xdr:ext cx="914400" cy="228600"/>
    <xdr:pic>
      <xdr:nvPicPr>
        <xdr:cNvPr id="43" name="Label1" hidden="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39077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149</xdr:row>
      <xdr:rowOff>133350</xdr:rowOff>
    </xdr:from>
    <xdr:to>
      <xdr:col>3</xdr:col>
      <xdr:colOff>941854</xdr:colOff>
      <xdr:row>150</xdr:row>
      <xdr:rowOff>118110</xdr:rowOff>
    </xdr:to>
    <xdr:pic>
      <xdr:nvPicPr>
        <xdr:cNvPr id="44" name="Label1" hidden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7565350"/>
          <a:ext cx="941854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149</xdr:row>
      <xdr:rowOff>133350</xdr:rowOff>
    </xdr:from>
    <xdr:ext cx="914400" cy="228600"/>
    <xdr:pic>
      <xdr:nvPicPr>
        <xdr:cNvPr id="45" name="Label1" hidden="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75653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10</xdr:row>
      <xdr:rowOff>133350</xdr:rowOff>
    </xdr:from>
    <xdr:to>
      <xdr:col>3</xdr:col>
      <xdr:colOff>946785</xdr:colOff>
      <xdr:row>11</xdr:row>
      <xdr:rowOff>118110</xdr:rowOff>
    </xdr:to>
    <xdr:pic>
      <xdr:nvPicPr>
        <xdr:cNvPr id="46" name="Label1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</xdr:row>
      <xdr:rowOff>133350</xdr:rowOff>
    </xdr:from>
    <xdr:ext cx="914400" cy="228600"/>
    <xdr:pic>
      <xdr:nvPicPr>
        <xdr:cNvPr id="47" name="Label1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9621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18</xdr:row>
      <xdr:rowOff>133350</xdr:rowOff>
    </xdr:from>
    <xdr:to>
      <xdr:col>3</xdr:col>
      <xdr:colOff>946785</xdr:colOff>
      <xdr:row>19</xdr:row>
      <xdr:rowOff>118110</xdr:rowOff>
    </xdr:to>
    <xdr:pic>
      <xdr:nvPicPr>
        <xdr:cNvPr id="48" name="Label1" hidden="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360807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18</xdr:row>
      <xdr:rowOff>133350</xdr:rowOff>
    </xdr:from>
    <xdr:ext cx="914400" cy="228600"/>
    <xdr:pic>
      <xdr:nvPicPr>
        <xdr:cNvPr id="49" name="Label1" hidden="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36080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27</xdr:row>
      <xdr:rowOff>133350</xdr:rowOff>
    </xdr:from>
    <xdr:to>
      <xdr:col>3</xdr:col>
      <xdr:colOff>946785</xdr:colOff>
      <xdr:row>28</xdr:row>
      <xdr:rowOff>118110</xdr:rowOff>
    </xdr:to>
    <xdr:pic>
      <xdr:nvPicPr>
        <xdr:cNvPr id="50" name="Label1" hidden="1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525399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27</xdr:row>
      <xdr:rowOff>133350</xdr:rowOff>
    </xdr:from>
    <xdr:ext cx="914400" cy="228600"/>
    <xdr:pic>
      <xdr:nvPicPr>
        <xdr:cNvPr id="51" name="Label1" hidden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52539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36</xdr:row>
      <xdr:rowOff>133350</xdr:rowOff>
    </xdr:from>
    <xdr:to>
      <xdr:col>3</xdr:col>
      <xdr:colOff>946785</xdr:colOff>
      <xdr:row>37</xdr:row>
      <xdr:rowOff>118110</xdr:rowOff>
    </xdr:to>
    <xdr:pic>
      <xdr:nvPicPr>
        <xdr:cNvPr id="52" name="Label1" hidden="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689991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36</xdr:row>
      <xdr:rowOff>133350</xdr:rowOff>
    </xdr:from>
    <xdr:ext cx="914400" cy="228600"/>
    <xdr:pic>
      <xdr:nvPicPr>
        <xdr:cNvPr id="53" name="Label1" hidden="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68999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45</xdr:row>
      <xdr:rowOff>133350</xdr:rowOff>
    </xdr:from>
    <xdr:to>
      <xdr:col>3</xdr:col>
      <xdr:colOff>946785</xdr:colOff>
      <xdr:row>46</xdr:row>
      <xdr:rowOff>118110</xdr:rowOff>
    </xdr:to>
    <xdr:pic>
      <xdr:nvPicPr>
        <xdr:cNvPr id="54" name="Label1" hidden="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854583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45</xdr:row>
      <xdr:rowOff>133350</xdr:rowOff>
    </xdr:from>
    <xdr:ext cx="914400" cy="228600"/>
    <xdr:pic>
      <xdr:nvPicPr>
        <xdr:cNvPr id="55" name="Label1" hidden="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85458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54</xdr:row>
      <xdr:rowOff>133350</xdr:rowOff>
    </xdr:from>
    <xdr:to>
      <xdr:col>3</xdr:col>
      <xdr:colOff>946785</xdr:colOff>
      <xdr:row>55</xdr:row>
      <xdr:rowOff>118110</xdr:rowOff>
    </xdr:to>
    <xdr:pic>
      <xdr:nvPicPr>
        <xdr:cNvPr id="56" name="Label1" hidden="1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19175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54</xdr:row>
      <xdr:rowOff>133350</xdr:rowOff>
    </xdr:from>
    <xdr:ext cx="914400" cy="228600"/>
    <xdr:pic>
      <xdr:nvPicPr>
        <xdr:cNvPr id="57" name="Label1" hidden="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01917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63</xdr:row>
      <xdr:rowOff>133350</xdr:rowOff>
    </xdr:from>
    <xdr:to>
      <xdr:col>3</xdr:col>
      <xdr:colOff>946785</xdr:colOff>
      <xdr:row>64</xdr:row>
      <xdr:rowOff>118110</xdr:rowOff>
    </xdr:to>
    <xdr:pic>
      <xdr:nvPicPr>
        <xdr:cNvPr id="58" name="Label1" hidden="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183767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63</xdr:row>
      <xdr:rowOff>133350</xdr:rowOff>
    </xdr:from>
    <xdr:ext cx="914400" cy="228600"/>
    <xdr:pic>
      <xdr:nvPicPr>
        <xdr:cNvPr id="59" name="Label1" hidden="1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18376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72</xdr:row>
      <xdr:rowOff>133350</xdr:rowOff>
    </xdr:from>
    <xdr:to>
      <xdr:col>3</xdr:col>
      <xdr:colOff>946785</xdr:colOff>
      <xdr:row>73</xdr:row>
      <xdr:rowOff>118110</xdr:rowOff>
    </xdr:to>
    <xdr:pic>
      <xdr:nvPicPr>
        <xdr:cNvPr id="60" name="Label1" hidden="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348359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72</xdr:row>
      <xdr:rowOff>133350</xdr:rowOff>
    </xdr:from>
    <xdr:ext cx="914400" cy="228600"/>
    <xdr:pic>
      <xdr:nvPicPr>
        <xdr:cNvPr id="61" name="Label1" hidden="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34835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81</xdr:row>
      <xdr:rowOff>133350</xdr:rowOff>
    </xdr:from>
    <xdr:to>
      <xdr:col>3</xdr:col>
      <xdr:colOff>946785</xdr:colOff>
      <xdr:row>82</xdr:row>
      <xdr:rowOff>118110</xdr:rowOff>
    </xdr:to>
    <xdr:pic>
      <xdr:nvPicPr>
        <xdr:cNvPr id="62" name="Label1" hidden="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512951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81</xdr:row>
      <xdr:rowOff>133350</xdr:rowOff>
    </xdr:from>
    <xdr:ext cx="914400" cy="228600"/>
    <xdr:pic>
      <xdr:nvPicPr>
        <xdr:cNvPr id="63" name="Label1" hidden="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51295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90</xdr:row>
      <xdr:rowOff>133350</xdr:rowOff>
    </xdr:from>
    <xdr:to>
      <xdr:col>3</xdr:col>
      <xdr:colOff>946785</xdr:colOff>
      <xdr:row>91</xdr:row>
      <xdr:rowOff>118110</xdr:rowOff>
    </xdr:to>
    <xdr:pic>
      <xdr:nvPicPr>
        <xdr:cNvPr id="64" name="Label1" hidden="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677543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90</xdr:row>
      <xdr:rowOff>133350</xdr:rowOff>
    </xdr:from>
    <xdr:ext cx="914400" cy="228600"/>
    <xdr:pic>
      <xdr:nvPicPr>
        <xdr:cNvPr id="65" name="Label1" hidden="1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67754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99</xdr:row>
      <xdr:rowOff>133350</xdr:rowOff>
    </xdr:from>
    <xdr:to>
      <xdr:col>3</xdr:col>
      <xdr:colOff>946785</xdr:colOff>
      <xdr:row>100</xdr:row>
      <xdr:rowOff>118110</xdr:rowOff>
    </xdr:to>
    <xdr:pic>
      <xdr:nvPicPr>
        <xdr:cNvPr id="66" name="Label1" hidden="1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842135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99</xdr:row>
      <xdr:rowOff>133350</xdr:rowOff>
    </xdr:from>
    <xdr:ext cx="914400" cy="228600"/>
    <xdr:pic>
      <xdr:nvPicPr>
        <xdr:cNvPr id="67" name="Label1" hidden="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184213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108</xdr:row>
      <xdr:rowOff>133350</xdr:rowOff>
    </xdr:from>
    <xdr:to>
      <xdr:col>3</xdr:col>
      <xdr:colOff>946785</xdr:colOff>
      <xdr:row>109</xdr:row>
      <xdr:rowOff>118110</xdr:rowOff>
    </xdr:to>
    <xdr:pic>
      <xdr:nvPicPr>
        <xdr:cNvPr id="68" name="Label1" hidden="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06727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108</xdr:row>
      <xdr:rowOff>133350</xdr:rowOff>
    </xdr:from>
    <xdr:ext cx="914400" cy="228600"/>
    <xdr:pic>
      <xdr:nvPicPr>
        <xdr:cNvPr id="69" name="Label1" hidden="1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00672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117</xdr:row>
      <xdr:rowOff>133350</xdr:rowOff>
    </xdr:from>
    <xdr:to>
      <xdr:col>3</xdr:col>
      <xdr:colOff>946785</xdr:colOff>
      <xdr:row>118</xdr:row>
      <xdr:rowOff>118110</xdr:rowOff>
    </xdr:to>
    <xdr:pic>
      <xdr:nvPicPr>
        <xdr:cNvPr id="70" name="Label1" hidden="1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171319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117</xdr:row>
      <xdr:rowOff>133350</xdr:rowOff>
    </xdr:from>
    <xdr:ext cx="914400" cy="228600"/>
    <xdr:pic>
      <xdr:nvPicPr>
        <xdr:cNvPr id="71" name="Label1" hidden="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17131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126</xdr:row>
      <xdr:rowOff>133350</xdr:rowOff>
    </xdr:from>
    <xdr:to>
      <xdr:col>3</xdr:col>
      <xdr:colOff>946785</xdr:colOff>
      <xdr:row>127</xdr:row>
      <xdr:rowOff>118110</xdr:rowOff>
    </xdr:to>
    <xdr:pic>
      <xdr:nvPicPr>
        <xdr:cNvPr id="72" name="Label1" hidden="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335911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126</xdr:row>
      <xdr:rowOff>133350</xdr:rowOff>
    </xdr:from>
    <xdr:ext cx="914400" cy="228600"/>
    <xdr:pic>
      <xdr:nvPicPr>
        <xdr:cNvPr id="73" name="Label1" hidden="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335911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135</xdr:row>
      <xdr:rowOff>133350</xdr:rowOff>
    </xdr:from>
    <xdr:to>
      <xdr:col>3</xdr:col>
      <xdr:colOff>946785</xdr:colOff>
      <xdr:row>136</xdr:row>
      <xdr:rowOff>118110</xdr:rowOff>
    </xdr:to>
    <xdr:pic>
      <xdr:nvPicPr>
        <xdr:cNvPr id="74" name="Label1" hidden="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500503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135</xdr:row>
      <xdr:rowOff>133350</xdr:rowOff>
    </xdr:from>
    <xdr:ext cx="914400" cy="228600"/>
    <xdr:pic>
      <xdr:nvPicPr>
        <xdr:cNvPr id="75" name="Label1" hidden="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500503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144</xdr:row>
      <xdr:rowOff>133350</xdr:rowOff>
    </xdr:from>
    <xdr:to>
      <xdr:col>3</xdr:col>
      <xdr:colOff>946785</xdr:colOff>
      <xdr:row>145</xdr:row>
      <xdr:rowOff>118110</xdr:rowOff>
    </xdr:to>
    <xdr:pic>
      <xdr:nvPicPr>
        <xdr:cNvPr id="76" name="Label1" hidden="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665095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144</xdr:row>
      <xdr:rowOff>133350</xdr:rowOff>
    </xdr:from>
    <xdr:ext cx="914400" cy="228600"/>
    <xdr:pic>
      <xdr:nvPicPr>
        <xdr:cNvPr id="77" name="Label1" hidden="1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66509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153</xdr:row>
      <xdr:rowOff>133350</xdr:rowOff>
    </xdr:from>
    <xdr:to>
      <xdr:col>3</xdr:col>
      <xdr:colOff>946785</xdr:colOff>
      <xdr:row>154</xdr:row>
      <xdr:rowOff>118110</xdr:rowOff>
    </xdr:to>
    <xdr:pic>
      <xdr:nvPicPr>
        <xdr:cNvPr id="78" name="Label1" hidden="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829687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153</xdr:row>
      <xdr:rowOff>133350</xdr:rowOff>
    </xdr:from>
    <xdr:ext cx="914400" cy="228600"/>
    <xdr:pic>
      <xdr:nvPicPr>
        <xdr:cNvPr id="79" name="Label1" hidden="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829687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162</xdr:row>
      <xdr:rowOff>133350</xdr:rowOff>
    </xdr:from>
    <xdr:to>
      <xdr:col>3</xdr:col>
      <xdr:colOff>946785</xdr:colOff>
      <xdr:row>163</xdr:row>
      <xdr:rowOff>118110</xdr:rowOff>
    </xdr:to>
    <xdr:pic>
      <xdr:nvPicPr>
        <xdr:cNvPr id="80" name="Label1" hidden="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942790"/>
          <a:ext cx="946785" cy="167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162</xdr:row>
      <xdr:rowOff>133350</xdr:rowOff>
    </xdr:from>
    <xdr:ext cx="914400" cy="228600"/>
    <xdr:pic>
      <xdr:nvPicPr>
        <xdr:cNvPr id="81" name="Label1" hidden="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2994279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</xdr:col>
      <xdr:colOff>914400</xdr:colOff>
      <xdr:row>9</xdr:row>
      <xdr:rowOff>133350</xdr:rowOff>
    </xdr:from>
    <xdr:to>
      <xdr:col>3</xdr:col>
      <xdr:colOff>657225</xdr:colOff>
      <xdr:row>13</xdr:row>
      <xdr:rowOff>34290</xdr:rowOff>
    </xdr:to>
    <xdr:pic>
      <xdr:nvPicPr>
        <xdr:cNvPr id="82" name="Label1" hidden="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2266950"/>
          <a:ext cx="946785" cy="220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</xdr:col>
      <xdr:colOff>914400</xdr:colOff>
      <xdr:row>9</xdr:row>
      <xdr:rowOff>133350</xdr:rowOff>
    </xdr:from>
    <xdr:ext cx="914400" cy="228600"/>
    <xdr:pic>
      <xdr:nvPicPr>
        <xdr:cNvPr id="83" name="Label1" hidden="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2266950"/>
          <a:ext cx="9144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009F-8536-44ED-B993-E707E052502C}">
  <sheetPr codeName="Sheet1"/>
  <dimension ref="C1:F11"/>
  <sheetViews>
    <sheetView showGridLines="0" tabSelected="1" view="pageBreakPreview" zoomScale="115" zoomScaleNormal="100" zoomScaleSheetLayoutView="115" workbookViewId="0">
      <selection activeCell="M4" sqref="M4"/>
    </sheetView>
  </sheetViews>
  <sheetFormatPr defaultRowHeight="14.4" x14ac:dyDescent="0.3"/>
  <cols>
    <col min="3" max="3" width="24.44140625" style="17" bestFit="1" customWidth="1"/>
    <col min="4" max="4" width="25" bestFit="1" customWidth="1"/>
    <col min="5" max="6" width="10.5546875" customWidth="1"/>
  </cols>
  <sheetData>
    <row r="1" spans="4:6" ht="21.6" thickBot="1" x14ac:dyDescent="0.35">
      <c r="D1" s="40" t="s">
        <v>207</v>
      </c>
      <c r="E1" s="40"/>
      <c r="F1" s="40"/>
    </row>
    <row r="2" spans="4:6" x14ac:dyDescent="0.3">
      <c r="D2" s="7"/>
      <c r="E2" s="28"/>
      <c r="F2" s="28"/>
    </row>
    <row r="3" spans="4:6" x14ac:dyDescent="0.3">
      <c r="D3" s="19"/>
      <c r="E3" s="29" t="s">
        <v>214</v>
      </c>
      <c r="F3" s="29" t="s">
        <v>215</v>
      </c>
    </row>
    <row r="4" spans="4:6" ht="15" thickBot="1" x14ac:dyDescent="0.35">
      <c r="D4" s="31" t="s">
        <v>208</v>
      </c>
      <c r="E4" s="30">
        <f ca="1">COUNTA(Sheet1!K:K)-1</f>
        <v>169</v>
      </c>
      <c r="F4" s="37">
        <f ca="1">SUM(F5:F9)</f>
        <v>1</v>
      </c>
    </row>
    <row r="5" spans="4:6" ht="15" thickTop="1" x14ac:dyDescent="0.3">
      <c r="D5" s="20" t="s">
        <v>209</v>
      </c>
      <c r="E5" s="2">
        <f ca="1">COUNTIF(Sheet1!K:K,"Completed")</f>
        <v>137</v>
      </c>
      <c r="F5" s="38">
        <f ca="1">E5/$E$4</f>
        <v>0.81065088757396453</v>
      </c>
    </row>
    <row r="6" spans="4:6" x14ac:dyDescent="0.3">
      <c r="D6" s="32" t="s">
        <v>213</v>
      </c>
      <c r="E6" s="2">
        <f ca="1">COUNTIF(Sheet1!K:K,"Overdue")</f>
        <v>5</v>
      </c>
      <c r="F6" s="38">
        <f ca="1">E6/$E$4</f>
        <v>2.9585798816568046E-2</v>
      </c>
    </row>
    <row r="7" spans="4:6" x14ac:dyDescent="0.3">
      <c r="D7" s="33" t="s">
        <v>211</v>
      </c>
      <c r="E7" s="2">
        <f ca="1">COUNTIF(Sheet1!K:K,"Days left*")</f>
        <v>16</v>
      </c>
      <c r="F7" s="38">
        <f ca="1">E7/$E$4</f>
        <v>9.4674556213017749E-2</v>
      </c>
    </row>
    <row r="8" spans="4:6" x14ac:dyDescent="0.3">
      <c r="D8" s="34" t="s">
        <v>210</v>
      </c>
      <c r="E8" s="2">
        <f ca="1">COUNTIF(Sheet1!K:K,"Closed")</f>
        <v>11</v>
      </c>
      <c r="F8" s="38">
        <f ca="1">E8/$E$4</f>
        <v>6.5088757396449703E-2</v>
      </c>
    </row>
    <row r="9" spans="4:6" x14ac:dyDescent="0.3">
      <c r="D9" s="35" t="s">
        <v>212</v>
      </c>
      <c r="E9" s="2">
        <f ca="1">COUNTIF(Sheet1!K:K," ")</f>
        <v>0</v>
      </c>
      <c r="F9" s="38">
        <f ca="1">E9/$E$4</f>
        <v>0</v>
      </c>
    </row>
    <row r="10" spans="4:6" x14ac:dyDescent="0.3">
      <c r="D10" s="15" t="s">
        <v>217</v>
      </c>
      <c r="E10" s="29">
        <f ca="1">COUNTIF(Sheet1!L:L,"Yes")</f>
        <v>70</v>
      </c>
      <c r="F10" s="39">
        <f ca="1">E10/($E$5+$E$8)</f>
        <v>0.47297297297297297</v>
      </c>
    </row>
    <row r="11" spans="4:6" x14ac:dyDescent="0.3">
      <c r="D11" s="15" t="s">
        <v>218</v>
      </c>
      <c r="E11" s="29">
        <f ca="1">COUNTIF(Sheet1!L:L,"No")</f>
        <v>78</v>
      </c>
      <c r="F11" s="39">
        <f ca="1">E11/($E$5+$E$8)</f>
        <v>0.52702702702702697</v>
      </c>
    </row>
  </sheetData>
  <sortState xmlns:xlrd2="http://schemas.microsoft.com/office/spreadsheetml/2017/richdata2" ref="J2:N7">
    <sortCondition ref="J2"/>
  </sortState>
  <mergeCells count="1">
    <mergeCell ref="D1:F1"/>
  </mergeCells>
  <pageMargins left="0.7" right="0.7" top="0.75" bottom="0.75" header="0.3" footer="0.3"/>
  <pageSetup scale="6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228600</xdr:colOff>
                <xdr:row>5</xdr:row>
                <xdr:rowOff>106680</xdr:rowOff>
              </from>
              <to>
                <xdr:col>10</xdr:col>
                <xdr:colOff>373380</xdr:colOff>
                <xdr:row>8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heet2.sendmail_Click">
            <anchor moveWithCells="1" sizeWithCells="1">
              <from>
                <xdr:col>7</xdr:col>
                <xdr:colOff>457200</xdr:colOff>
                <xdr:row>2</xdr:row>
                <xdr:rowOff>53340</xdr:rowOff>
              </from>
              <to>
                <xdr:col>10</xdr:col>
                <xdr:colOff>167640</xdr:colOff>
                <xdr:row>4</xdr:row>
                <xdr:rowOff>175260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C84A-1355-4643-9CE9-DD32C1FE6D9A}">
  <sheetPr codeName="Sheet2"/>
  <dimension ref="A1:O170"/>
  <sheetViews>
    <sheetView workbookViewId="0">
      <pane ySplit="1" topLeftCell="A2" activePane="bottomLeft" state="frozen"/>
      <selection pane="bottomLeft" activeCell="I84" sqref="I84"/>
    </sheetView>
  </sheetViews>
  <sheetFormatPr defaultRowHeight="14.4" x14ac:dyDescent="0.3"/>
  <cols>
    <col min="1" max="1" width="6.6640625" bestFit="1" customWidth="1"/>
    <col min="2" max="2" width="10.33203125" style="11" bestFit="1" customWidth="1"/>
    <col min="3" max="3" width="55.88671875" bestFit="1" customWidth="1"/>
    <col min="4" max="4" width="17.5546875" bestFit="1" customWidth="1"/>
    <col min="5" max="5" width="10.5546875" bestFit="1" customWidth="1"/>
    <col min="6" max="6" width="10.109375" style="23" bestFit="1" customWidth="1"/>
    <col min="7" max="7" width="10.33203125" style="14" bestFit="1" customWidth="1"/>
    <col min="8" max="8" width="20.21875" bestFit="1" customWidth="1"/>
    <col min="9" max="9" width="15.109375" bestFit="1" customWidth="1"/>
    <col min="10" max="10" width="7.21875" style="17" bestFit="1" customWidth="1"/>
    <col min="11" max="11" width="11.5546875" style="17" bestFit="1" customWidth="1"/>
    <col min="12" max="12" width="10.33203125" style="17" bestFit="1" customWidth="1"/>
    <col min="14" max="14" width="14.77734375" bestFit="1" customWidth="1"/>
    <col min="15" max="15" width="2.77734375" bestFit="1" customWidth="1"/>
  </cols>
  <sheetData>
    <row r="1" spans="1:15" s="7" customFormat="1" x14ac:dyDescent="0.3">
      <c r="A1" s="5" t="s">
        <v>0</v>
      </c>
      <c r="B1" s="8" t="s">
        <v>1</v>
      </c>
      <c r="C1" s="5" t="s">
        <v>2</v>
      </c>
      <c r="D1" s="6" t="s">
        <v>4</v>
      </c>
      <c r="E1" s="5" t="s">
        <v>3</v>
      </c>
      <c r="F1" s="13" t="s">
        <v>5</v>
      </c>
      <c r="G1" s="13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206</v>
      </c>
      <c r="N1" s="15" t="s">
        <v>188</v>
      </c>
      <c r="O1" s="15" t="s">
        <v>189</v>
      </c>
    </row>
    <row r="2" spans="1:15" x14ac:dyDescent="0.3">
      <c r="A2" s="2">
        <v>1</v>
      </c>
      <c r="B2" s="9">
        <v>43907</v>
      </c>
      <c r="C2" s="4" t="s">
        <v>11</v>
      </c>
      <c r="D2" s="2" t="s">
        <v>12</v>
      </c>
      <c r="E2" s="3">
        <v>43964</v>
      </c>
      <c r="F2" s="22">
        <f t="shared" ref="F2:F33" ca="1" si="0">$E2-TODAY()</f>
        <v>6</v>
      </c>
      <c r="G2" s="12">
        <f t="shared" ref="G2:G33" ca="1" si="1">IF(K2="Overdue",0,IF(F2&lt;0,"",F2))</f>
        <v>6</v>
      </c>
      <c r="H2" s="2" t="str">
        <f>INDEX('Name &amp; Email id'!C:D,MATCH(D2,'Name &amp; Email id'!C:C,0),2)</f>
        <v>bancboy@yahoo.com</v>
      </c>
      <c r="I2" s="1">
        <v>43926</v>
      </c>
      <c r="J2" s="18" t="s">
        <v>191</v>
      </c>
      <c r="K2" s="21" t="str">
        <f t="shared" ref="K2:K33" ca="1" si="2">IF($J2="D","Completed",IF($J2="C","Closed",IF(AND($J2="W",TODAY()&lt;$E2),"Days left "&amp;E2-TODAY(),IF(AND($J2="W",TODAY()&gt;=E2),"Overdue"," "))))</f>
        <v>Days left 6</v>
      </c>
      <c r="L2" s="27" t="str">
        <f t="shared" ref="L2:L33" ca="1" si="3">IF(OR($K2="Completed",$K2="Closed"),IF($I2&lt;E2,"Yes","No"),"")</f>
        <v/>
      </c>
      <c r="N2" s="16" t="s">
        <v>190</v>
      </c>
      <c r="O2" s="16" t="s">
        <v>191</v>
      </c>
    </row>
    <row r="3" spans="1:15" x14ac:dyDescent="0.3">
      <c r="A3" s="2">
        <v>2</v>
      </c>
      <c r="B3" s="10">
        <v>43891</v>
      </c>
      <c r="C3" s="2" t="s">
        <v>13</v>
      </c>
      <c r="D3" s="2" t="s">
        <v>14</v>
      </c>
      <c r="E3" s="1">
        <v>43952</v>
      </c>
      <c r="F3" s="22">
        <f t="shared" ca="1" si="0"/>
        <v>-6</v>
      </c>
      <c r="G3" s="12">
        <f t="shared" ca="1" si="1"/>
        <v>0</v>
      </c>
      <c r="H3" s="2" t="str">
        <f>INDEX('Name &amp; Email id'!C:D,MATCH(D3,'Name &amp; Email id'!C:C,0),2)</f>
        <v>isotopian@icloud.com</v>
      </c>
      <c r="I3" s="1"/>
      <c r="J3" s="18" t="s">
        <v>191</v>
      </c>
      <c r="K3" s="21" t="str">
        <f t="shared" ca="1" si="2"/>
        <v>Overdue</v>
      </c>
      <c r="L3" s="27" t="str">
        <f t="shared" ca="1" si="3"/>
        <v/>
      </c>
      <c r="N3" s="16" t="s">
        <v>192</v>
      </c>
      <c r="O3" s="16" t="s">
        <v>193</v>
      </c>
    </row>
    <row r="4" spans="1:15" x14ac:dyDescent="0.3">
      <c r="A4" s="2">
        <v>3</v>
      </c>
      <c r="B4" s="10">
        <v>43891</v>
      </c>
      <c r="C4" s="2" t="s">
        <v>15</v>
      </c>
      <c r="D4" s="2" t="s">
        <v>16</v>
      </c>
      <c r="E4" s="1">
        <v>43926</v>
      </c>
      <c r="F4" s="22">
        <f t="shared" ca="1" si="0"/>
        <v>-32</v>
      </c>
      <c r="G4" s="12" t="str">
        <f t="shared" ca="1" si="1"/>
        <v/>
      </c>
      <c r="H4" s="2" t="str">
        <f>INDEX('Name &amp; Email id'!C:D,MATCH(D4,'Name &amp; Email id'!C:C,0),2)</f>
        <v>denism@aol.com</v>
      </c>
      <c r="I4" s="1">
        <v>43931</v>
      </c>
      <c r="J4" s="18" t="s">
        <v>189</v>
      </c>
      <c r="K4" s="20" t="str">
        <f t="shared" ca="1" si="2"/>
        <v>Completed</v>
      </c>
      <c r="L4" s="27" t="str">
        <f t="shared" ca="1" si="3"/>
        <v>No</v>
      </c>
    </row>
    <row r="5" spans="1:15" x14ac:dyDescent="0.3">
      <c r="A5" s="2">
        <v>4</v>
      </c>
      <c r="B5" s="10">
        <v>43891</v>
      </c>
      <c r="C5" s="2" t="s">
        <v>17</v>
      </c>
      <c r="D5" s="2" t="s">
        <v>18</v>
      </c>
      <c r="E5" s="1">
        <v>43931</v>
      </c>
      <c r="F5" s="22">
        <f t="shared" ca="1" si="0"/>
        <v>-27</v>
      </c>
      <c r="G5" s="12" t="str">
        <f t="shared" ca="1" si="1"/>
        <v/>
      </c>
      <c r="H5" s="2" t="str">
        <f>INDEX('Name &amp; Email id'!C:D,MATCH(D5,'Name &amp; Email id'!C:C,0),2)</f>
        <v>bmorrow@verizon.net</v>
      </c>
      <c r="I5" s="1">
        <v>44042</v>
      </c>
      <c r="J5" s="18" t="s">
        <v>189</v>
      </c>
      <c r="K5" s="21" t="str">
        <f t="shared" ca="1" si="2"/>
        <v>Completed</v>
      </c>
      <c r="L5" s="27" t="str">
        <f t="shared" ca="1" si="3"/>
        <v>No</v>
      </c>
    </row>
    <row r="6" spans="1:15" x14ac:dyDescent="0.3">
      <c r="A6" s="2">
        <v>5</v>
      </c>
      <c r="B6" s="10">
        <v>43891</v>
      </c>
      <c r="C6" s="2" t="s">
        <v>19</v>
      </c>
      <c r="D6" s="2" t="s">
        <v>20</v>
      </c>
      <c r="E6" s="1">
        <v>44042</v>
      </c>
      <c r="F6" s="22">
        <f t="shared" ca="1" si="0"/>
        <v>84</v>
      </c>
      <c r="G6" s="12">
        <f t="shared" ca="1" si="1"/>
        <v>84</v>
      </c>
      <c r="H6" s="2" t="str">
        <f>INDEX('Name &amp; Email id'!C:D,MATCH(D6,'Name &amp; Email id'!C:C,0),2)</f>
        <v>bartlett@mac.com</v>
      </c>
      <c r="I6" s="1"/>
      <c r="J6" s="18" t="s">
        <v>191</v>
      </c>
      <c r="K6" s="21" t="str">
        <f t="shared" ca="1" si="2"/>
        <v>Days left 84</v>
      </c>
      <c r="L6" s="27" t="str">
        <f t="shared" ca="1" si="3"/>
        <v/>
      </c>
    </row>
    <row r="7" spans="1:15" x14ac:dyDescent="0.3">
      <c r="A7" s="2">
        <v>6</v>
      </c>
      <c r="B7" s="10">
        <v>43891</v>
      </c>
      <c r="C7" s="2" t="s">
        <v>21</v>
      </c>
      <c r="D7" s="2" t="s">
        <v>22</v>
      </c>
      <c r="E7" s="1">
        <v>43931</v>
      </c>
      <c r="F7" s="22">
        <f t="shared" ca="1" si="0"/>
        <v>-27</v>
      </c>
      <c r="G7" s="12">
        <f t="shared" ca="1" si="1"/>
        <v>0</v>
      </c>
      <c r="H7" s="2" t="str">
        <f>INDEX('Name &amp; Email id'!C:D,MATCH(D7,'Name &amp; Email id'!C:C,0),2)</f>
        <v>aukjan@msn.com</v>
      </c>
      <c r="I7" s="1"/>
      <c r="J7" s="18" t="s">
        <v>191</v>
      </c>
      <c r="K7" s="19" t="str">
        <f t="shared" ca="1" si="2"/>
        <v>Overdue</v>
      </c>
      <c r="L7" s="27" t="str">
        <f t="shared" ca="1" si="3"/>
        <v/>
      </c>
    </row>
    <row r="8" spans="1:15" x14ac:dyDescent="0.3">
      <c r="A8" s="2">
        <v>7</v>
      </c>
      <c r="B8" s="10">
        <v>43891</v>
      </c>
      <c r="C8" s="2" t="s">
        <v>23</v>
      </c>
      <c r="D8" s="2" t="s">
        <v>24</v>
      </c>
      <c r="E8" s="1">
        <v>43933</v>
      </c>
      <c r="F8" s="22">
        <f t="shared" ca="1" si="0"/>
        <v>-25</v>
      </c>
      <c r="G8" s="12">
        <f t="shared" ca="1" si="1"/>
        <v>0</v>
      </c>
      <c r="H8" s="2" t="str">
        <f>INDEX('Name &amp; Email id'!C:D,MATCH(D8,'Name &amp; Email id'!C:C,0),2)</f>
        <v>cremonini@att.net</v>
      </c>
      <c r="I8" s="1"/>
      <c r="J8" s="18" t="s">
        <v>191</v>
      </c>
      <c r="K8" s="19" t="str">
        <f t="shared" ca="1" si="2"/>
        <v>Overdue</v>
      </c>
      <c r="L8" s="27" t="str">
        <f t="shared" ca="1" si="3"/>
        <v/>
      </c>
    </row>
    <row r="9" spans="1:15" x14ac:dyDescent="0.3">
      <c r="A9" s="2">
        <v>8</v>
      </c>
      <c r="B9" s="10">
        <v>43891</v>
      </c>
      <c r="C9" s="2" t="s">
        <v>25</v>
      </c>
      <c r="D9" s="2" t="s">
        <v>26</v>
      </c>
      <c r="E9" s="1">
        <v>43926</v>
      </c>
      <c r="F9" s="22">
        <f t="shared" ca="1" si="0"/>
        <v>-32</v>
      </c>
      <c r="G9" s="12" t="str">
        <f t="shared" ca="1" si="1"/>
        <v/>
      </c>
      <c r="H9" s="2" t="str">
        <f>INDEX('Name &amp; Email id'!C:D,MATCH(D9,'Name &amp; Email id'!C:C,0),2)</f>
        <v>pereinar@yahoo.com</v>
      </c>
      <c r="I9" s="1">
        <v>43941</v>
      </c>
      <c r="J9" s="18" t="s">
        <v>189</v>
      </c>
      <c r="K9" s="19" t="str">
        <f t="shared" ca="1" si="2"/>
        <v>Completed</v>
      </c>
      <c r="L9" s="27" t="str">
        <f t="shared" ca="1" si="3"/>
        <v>No</v>
      </c>
    </row>
    <row r="10" spans="1:15" x14ac:dyDescent="0.3">
      <c r="A10" s="2">
        <v>9</v>
      </c>
      <c r="B10" s="10">
        <v>43891</v>
      </c>
      <c r="C10" s="2" t="s">
        <v>27</v>
      </c>
      <c r="D10" s="2" t="s">
        <v>28</v>
      </c>
      <c r="E10" s="1">
        <v>43941</v>
      </c>
      <c r="F10" s="22">
        <f t="shared" ca="1" si="0"/>
        <v>-17</v>
      </c>
      <c r="G10" s="12" t="str">
        <f t="shared" ca="1" si="1"/>
        <v/>
      </c>
      <c r="H10" s="2" t="str">
        <f>INDEX('Name &amp; Email id'!C:D,MATCH(D10,'Name &amp; Email id'!C:C,0),2)</f>
        <v>mschwartz@att.net</v>
      </c>
      <c r="I10" s="1">
        <v>44058</v>
      </c>
      <c r="J10" s="18" t="s">
        <v>189</v>
      </c>
      <c r="K10" s="19" t="str">
        <f t="shared" ca="1" si="2"/>
        <v>Completed</v>
      </c>
      <c r="L10" s="27" t="str">
        <f t="shared" ca="1" si="3"/>
        <v>No</v>
      </c>
    </row>
    <row r="11" spans="1:15" x14ac:dyDescent="0.3">
      <c r="A11" s="2">
        <v>10</v>
      </c>
      <c r="B11" s="10">
        <v>43891</v>
      </c>
      <c r="C11" s="2" t="s">
        <v>29</v>
      </c>
      <c r="D11" s="2" t="s">
        <v>30</v>
      </c>
      <c r="E11" s="1">
        <v>44058</v>
      </c>
      <c r="F11" s="22">
        <f t="shared" ca="1" si="0"/>
        <v>100</v>
      </c>
      <c r="G11" s="12">
        <f t="shared" ca="1" si="1"/>
        <v>100</v>
      </c>
      <c r="H11" s="2" t="str">
        <f>INDEX('Name &amp; Email id'!C:D,MATCH(D11,'Name &amp; Email id'!C:C,0),2)</f>
        <v>johnparker@gmail.com</v>
      </c>
      <c r="I11" s="1">
        <v>43907</v>
      </c>
      <c r="J11" s="18" t="s">
        <v>189</v>
      </c>
      <c r="K11" s="19" t="str">
        <f t="shared" ca="1" si="2"/>
        <v>Completed</v>
      </c>
      <c r="L11" s="27" t="str">
        <f t="shared" ca="1" si="3"/>
        <v>Yes</v>
      </c>
    </row>
    <row r="12" spans="1:15" x14ac:dyDescent="0.3">
      <c r="A12" s="2">
        <v>11</v>
      </c>
      <c r="B12" s="10">
        <v>43891</v>
      </c>
      <c r="C12" s="2" t="s">
        <v>31</v>
      </c>
      <c r="D12" s="2" t="s">
        <v>14</v>
      </c>
      <c r="E12" s="1">
        <v>43907</v>
      </c>
      <c r="F12" s="22">
        <f t="shared" ca="1" si="0"/>
        <v>-51</v>
      </c>
      <c r="G12" s="12" t="str">
        <f t="shared" ca="1" si="1"/>
        <v/>
      </c>
      <c r="H12" s="2" t="str">
        <f>INDEX('Name &amp; Email id'!C:D,MATCH(D12,'Name &amp; Email id'!C:C,0),2)</f>
        <v>isotopian@icloud.com</v>
      </c>
      <c r="I12" s="1">
        <v>43920</v>
      </c>
      <c r="J12" s="18" t="s">
        <v>189</v>
      </c>
      <c r="K12" s="19" t="str">
        <f t="shared" ca="1" si="2"/>
        <v>Completed</v>
      </c>
      <c r="L12" s="27" t="str">
        <f t="shared" ca="1" si="3"/>
        <v>No</v>
      </c>
    </row>
    <row r="13" spans="1:15" x14ac:dyDescent="0.3">
      <c r="A13" s="2">
        <v>12</v>
      </c>
      <c r="B13" s="10">
        <v>43891</v>
      </c>
      <c r="C13" s="2" t="s">
        <v>32</v>
      </c>
      <c r="D13" s="2" t="s">
        <v>16</v>
      </c>
      <c r="E13" s="1">
        <v>43920</v>
      </c>
      <c r="F13" s="22">
        <f t="shared" ca="1" si="0"/>
        <v>-38</v>
      </c>
      <c r="G13" s="12" t="str">
        <f t="shared" ca="1" si="1"/>
        <v/>
      </c>
      <c r="H13" s="2" t="str">
        <f>INDEX('Name &amp; Email id'!C:D,MATCH(D13,'Name &amp; Email id'!C:C,0),2)</f>
        <v>denism@aol.com</v>
      </c>
      <c r="I13" s="1">
        <v>43981</v>
      </c>
      <c r="J13" s="18" t="s">
        <v>189</v>
      </c>
      <c r="K13" s="19" t="str">
        <f t="shared" ca="1" si="2"/>
        <v>Completed</v>
      </c>
      <c r="L13" s="27" t="str">
        <f t="shared" ca="1" si="3"/>
        <v>No</v>
      </c>
    </row>
    <row r="14" spans="1:15" x14ac:dyDescent="0.3">
      <c r="A14" s="2">
        <v>13</v>
      </c>
      <c r="B14" s="10">
        <v>43891</v>
      </c>
      <c r="C14" s="2" t="s">
        <v>33</v>
      </c>
      <c r="D14" s="2" t="s">
        <v>18</v>
      </c>
      <c r="E14" s="1">
        <v>43981</v>
      </c>
      <c r="F14" s="22">
        <f t="shared" ca="1" si="0"/>
        <v>23</v>
      </c>
      <c r="G14" s="12">
        <f t="shared" ca="1" si="1"/>
        <v>23</v>
      </c>
      <c r="H14" s="2" t="str">
        <f>INDEX('Name &amp; Email id'!C:D,MATCH(D14,'Name &amp; Email id'!C:C,0),2)</f>
        <v>bmorrow@verizon.net</v>
      </c>
      <c r="I14" s="1">
        <v>43997</v>
      </c>
      <c r="J14" s="18" t="s">
        <v>189</v>
      </c>
      <c r="K14" s="19" t="str">
        <f t="shared" ca="1" si="2"/>
        <v>Completed</v>
      </c>
      <c r="L14" s="27" t="str">
        <f t="shared" ca="1" si="3"/>
        <v>No</v>
      </c>
    </row>
    <row r="15" spans="1:15" x14ac:dyDescent="0.3">
      <c r="A15" s="2">
        <v>14</v>
      </c>
      <c r="B15" s="10">
        <v>43891</v>
      </c>
      <c r="C15" s="2" t="s">
        <v>34</v>
      </c>
      <c r="D15" s="2" t="s">
        <v>20</v>
      </c>
      <c r="E15" s="1">
        <v>43997</v>
      </c>
      <c r="F15" s="22">
        <f t="shared" ca="1" si="0"/>
        <v>39</v>
      </c>
      <c r="G15" s="12">
        <f t="shared" ca="1" si="1"/>
        <v>39</v>
      </c>
      <c r="H15" s="2" t="str">
        <f>INDEX('Name &amp; Email id'!C:D,MATCH(D15,'Name &amp; Email id'!C:C,0),2)</f>
        <v>bartlett@mac.com</v>
      </c>
      <c r="I15" s="1">
        <v>43951</v>
      </c>
      <c r="J15" s="18" t="s">
        <v>189</v>
      </c>
      <c r="K15" s="19" t="str">
        <f t="shared" ca="1" si="2"/>
        <v>Completed</v>
      </c>
      <c r="L15" s="27" t="str">
        <f t="shared" ca="1" si="3"/>
        <v>Yes</v>
      </c>
    </row>
    <row r="16" spans="1:15" x14ac:dyDescent="0.3">
      <c r="A16" s="2">
        <v>15</v>
      </c>
      <c r="B16" s="10">
        <v>43891</v>
      </c>
      <c r="C16" s="2" t="s">
        <v>35</v>
      </c>
      <c r="D16" s="2" t="s">
        <v>22</v>
      </c>
      <c r="E16" s="1">
        <v>43951</v>
      </c>
      <c r="F16" s="22">
        <f t="shared" ca="1" si="0"/>
        <v>-7</v>
      </c>
      <c r="G16" s="12" t="str">
        <f t="shared" ca="1" si="1"/>
        <v/>
      </c>
      <c r="H16" s="2" t="str">
        <f>INDEX('Name &amp; Email id'!C:D,MATCH(D16,'Name &amp; Email id'!C:C,0),2)</f>
        <v>aukjan@msn.com</v>
      </c>
      <c r="I16" s="1">
        <v>43926</v>
      </c>
      <c r="J16" s="18" t="s">
        <v>189</v>
      </c>
      <c r="K16" s="19" t="str">
        <f t="shared" ca="1" si="2"/>
        <v>Completed</v>
      </c>
      <c r="L16" s="27" t="str">
        <f t="shared" ca="1" si="3"/>
        <v>Yes</v>
      </c>
    </row>
    <row r="17" spans="1:12" x14ac:dyDescent="0.3">
      <c r="A17" s="2">
        <v>16</v>
      </c>
      <c r="B17" s="10">
        <v>43891</v>
      </c>
      <c r="C17" s="2" t="s">
        <v>36</v>
      </c>
      <c r="D17" s="2" t="s">
        <v>24</v>
      </c>
      <c r="E17" s="1">
        <v>44012</v>
      </c>
      <c r="F17" s="22">
        <f t="shared" ca="1" si="0"/>
        <v>54</v>
      </c>
      <c r="G17" s="12">
        <f t="shared" ca="1" si="1"/>
        <v>54</v>
      </c>
      <c r="H17" s="2" t="str">
        <f>INDEX('Name &amp; Email id'!C:D,MATCH(D17,'Name &amp; Email id'!C:C,0),2)</f>
        <v>cremonini@att.net</v>
      </c>
      <c r="I17" s="1">
        <v>43941</v>
      </c>
      <c r="J17" s="18" t="s">
        <v>189</v>
      </c>
      <c r="K17" s="19" t="str">
        <f t="shared" ca="1" si="2"/>
        <v>Completed</v>
      </c>
      <c r="L17" s="27" t="str">
        <f t="shared" ca="1" si="3"/>
        <v>Yes</v>
      </c>
    </row>
    <row r="18" spans="1:12" x14ac:dyDescent="0.3">
      <c r="A18" s="2">
        <v>17</v>
      </c>
      <c r="B18" s="10">
        <v>43891</v>
      </c>
      <c r="C18" s="2" t="s">
        <v>37</v>
      </c>
      <c r="D18" s="2" t="s">
        <v>26</v>
      </c>
      <c r="E18" s="1">
        <v>44012</v>
      </c>
      <c r="F18" s="22">
        <f t="shared" ca="1" si="0"/>
        <v>54</v>
      </c>
      <c r="G18" s="12">
        <f t="shared" ca="1" si="1"/>
        <v>54</v>
      </c>
      <c r="H18" s="2" t="str">
        <f>INDEX('Name &amp; Email id'!C:D,MATCH(D18,'Name &amp; Email id'!C:C,0),2)</f>
        <v>pereinar@yahoo.com</v>
      </c>
      <c r="I18" s="1">
        <v>44058</v>
      </c>
      <c r="J18" s="18" t="s">
        <v>189</v>
      </c>
      <c r="K18" s="19" t="str">
        <f t="shared" ca="1" si="2"/>
        <v>Completed</v>
      </c>
      <c r="L18" s="27" t="str">
        <f t="shared" ca="1" si="3"/>
        <v>No</v>
      </c>
    </row>
    <row r="19" spans="1:12" x14ac:dyDescent="0.3">
      <c r="A19" s="2">
        <v>18</v>
      </c>
      <c r="B19" s="10">
        <v>43891</v>
      </c>
      <c r="C19" s="2" t="s">
        <v>38</v>
      </c>
      <c r="D19" s="2" t="s">
        <v>28</v>
      </c>
      <c r="E19" s="1">
        <v>43981</v>
      </c>
      <c r="F19" s="22">
        <f t="shared" ca="1" si="0"/>
        <v>23</v>
      </c>
      <c r="G19" s="12">
        <f t="shared" ca="1" si="1"/>
        <v>23</v>
      </c>
      <c r="H19" s="2" t="str">
        <f>INDEX('Name &amp; Email id'!C:D,MATCH(D19,'Name &amp; Email id'!C:C,0),2)</f>
        <v>mschwartz@att.net</v>
      </c>
      <c r="I19" s="1">
        <v>43907</v>
      </c>
      <c r="J19" s="18" t="s">
        <v>189</v>
      </c>
      <c r="K19" s="19" t="str">
        <f t="shared" ca="1" si="2"/>
        <v>Completed</v>
      </c>
      <c r="L19" s="27" t="str">
        <f t="shared" ca="1" si="3"/>
        <v>Yes</v>
      </c>
    </row>
    <row r="20" spans="1:12" x14ac:dyDescent="0.3">
      <c r="A20" s="2">
        <v>19</v>
      </c>
      <c r="B20" s="10">
        <v>43891</v>
      </c>
      <c r="C20" s="2" t="s">
        <v>39</v>
      </c>
      <c r="D20" s="2" t="s">
        <v>30</v>
      </c>
      <c r="E20" s="1">
        <v>43958</v>
      </c>
      <c r="F20" s="22">
        <f t="shared" ca="1" si="0"/>
        <v>0</v>
      </c>
      <c r="G20" s="12">
        <f t="shared" ca="1" si="1"/>
        <v>0</v>
      </c>
      <c r="H20" s="2" t="str">
        <f>INDEX('Name &amp; Email id'!C:D,MATCH(D20,'Name &amp; Email id'!C:C,0),2)</f>
        <v>johnparker@gmail.com</v>
      </c>
      <c r="I20" s="1">
        <v>43920</v>
      </c>
      <c r="J20" s="18" t="s">
        <v>189</v>
      </c>
      <c r="K20" s="19" t="str">
        <f t="shared" ca="1" si="2"/>
        <v>Completed</v>
      </c>
      <c r="L20" s="27" t="str">
        <f t="shared" ca="1" si="3"/>
        <v>Yes</v>
      </c>
    </row>
    <row r="21" spans="1:12" x14ac:dyDescent="0.3">
      <c r="A21" s="2">
        <v>20</v>
      </c>
      <c r="B21" s="10">
        <v>43891</v>
      </c>
      <c r="C21" s="2" t="s">
        <v>40</v>
      </c>
      <c r="D21" s="2" t="s">
        <v>14</v>
      </c>
      <c r="E21" s="1">
        <v>44048</v>
      </c>
      <c r="F21" s="22">
        <f t="shared" ca="1" si="0"/>
        <v>90</v>
      </c>
      <c r="G21" s="12">
        <f t="shared" ca="1" si="1"/>
        <v>90</v>
      </c>
      <c r="H21" s="2" t="str">
        <f>INDEX('Name &amp; Email id'!C:D,MATCH(D21,'Name &amp; Email id'!C:C,0),2)</f>
        <v>isotopian@icloud.com</v>
      </c>
      <c r="I21" s="1">
        <v>43981</v>
      </c>
      <c r="J21" s="18" t="s">
        <v>189</v>
      </c>
      <c r="K21" s="19" t="str">
        <f t="shared" ca="1" si="2"/>
        <v>Completed</v>
      </c>
      <c r="L21" s="27" t="str">
        <f t="shared" ca="1" si="3"/>
        <v>Yes</v>
      </c>
    </row>
    <row r="22" spans="1:12" x14ac:dyDescent="0.3">
      <c r="A22" s="2">
        <v>21</v>
      </c>
      <c r="B22" s="10">
        <v>43891</v>
      </c>
      <c r="C22" s="2" t="s">
        <v>41</v>
      </c>
      <c r="D22" s="2" t="s">
        <v>16</v>
      </c>
      <c r="E22" s="1">
        <v>43997</v>
      </c>
      <c r="F22" s="22">
        <f t="shared" ca="1" si="0"/>
        <v>39</v>
      </c>
      <c r="G22" s="12">
        <f t="shared" ca="1" si="1"/>
        <v>39</v>
      </c>
      <c r="H22" s="2" t="str">
        <f>INDEX('Name &amp; Email id'!C:D,MATCH(D22,'Name &amp; Email id'!C:C,0),2)</f>
        <v>denism@aol.com</v>
      </c>
      <c r="I22" s="1">
        <v>43997</v>
      </c>
      <c r="J22" s="18" t="s">
        <v>189</v>
      </c>
      <c r="K22" s="19" t="str">
        <f t="shared" ca="1" si="2"/>
        <v>Completed</v>
      </c>
      <c r="L22" s="27" t="str">
        <f t="shared" ca="1" si="3"/>
        <v>No</v>
      </c>
    </row>
    <row r="23" spans="1:12" x14ac:dyDescent="0.3">
      <c r="A23" s="2">
        <v>22</v>
      </c>
      <c r="B23" s="10">
        <v>43891</v>
      </c>
      <c r="C23" s="2" t="s">
        <v>42</v>
      </c>
      <c r="D23" s="2" t="s">
        <v>18</v>
      </c>
      <c r="E23" s="1">
        <v>44089</v>
      </c>
      <c r="F23" s="22">
        <f t="shared" ca="1" si="0"/>
        <v>131</v>
      </c>
      <c r="G23" s="12">
        <f t="shared" ca="1" si="1"/>
        <v>131</v>
      </c>
      <c r="H23" s="2" t="str">
        <f>INDEX('Name &amp; Email id'!C:D,MATCH(D23,'Name &amp; Email id'!C:C,0),2)</f>
        <v>bmorrow@verizon.net</v>
      </c>
      <c r="I23" s="1">
        <v>43951</v>
      </c>
      <c r="J23" s="18" t="s">
        <v>189</v>
      </c>
      <c r="K23" s="19" t="str">
        <f t="shared" ca="1" si="2"/>
        <v>Completed</v>
      </c>
      <c r="L23" s="27" t="str">
        <f t="shared" ca="1" si="3"/>
        <v>Yes</v>
      </c>
    </row>
    <row r="24" spans="1:12" x14ac:dyDescent="0.3">
      <c r="A24" s="2">
        <v>23</v>
      </c>
      <c r="B24" s="10">
        <v>43891</v>
      </c>
      <c r="C24" s="2" t="s">
        <v>43</v>
      </c>
      <c r="D24" s="2" t="s">
        <v>20</v>
      </c>
      <c r="E24" s="1">
        <v>44089</v>
      </c>
      <c r="F24" s="22">
        <f t="shared" ca="1" si="0"/>
        <v>131</v>
      </c>
      <c r="G24" s="12">
        <f t="shared" ca="1" si="1"/>
        <v>131</v>
      </c>
      <c r="H24" s="2" t="str">
        <f>INDEX('Name &amp; Email id'!C:D,MATCH(D24,'Name &amp; Email id'!C:C,0),2)</f>
        <v>bartlett@mac.com</v>
      </c>
      <c r="I24" s="1">
        <v>44012</v>
      </c>
      <c r="J24" s="18" t="s">
        <v>189</v>
      </c>
      <c r="K24" s="19" t="str">
        <f t="shared" ca="1" si="2"/>
        <v>Completed</v>
      </c>
      <c r="L24" s="27" t="str">
        <f t="shared" ca="1" si="3"/>
        <v>Yes</v>
      </c>
    </row>
    <row r="25" spans="1:12" x14ac:dyDescent="0.3">
      <c r="A25" s="2">
        <v>24</v>
      </c>
      <c r="B25" s="10">
        <v>43891</v>
      </c>
      <c r="C25" s="2" t="s">
        <v>44</v>
      </c>
      <c r="D25" s="2" t="s">
        <v>22</v>
      </c>
      <c r="E25" s="1">
        <v>43994</v>
      </c>
      <c r="F25" s="22">
        <f t="shared" ca="1" si="0"/>
        <v>36</v>
      </c>
      <c r="G25" s="12">
        <f t="shared" ca="1" si="1"/>
        <v>36</v>
      </c>
      <c r="H25" s="2" t="str">
        <f>INDEX('Name &amp; Email id'!C:D,MATCH(D25,'Name &amp; Email id'!C:C,0),2)</f>
        <v>aukjan@msn.com</v>
      </c>
      <c r="I25" s="1">
        <v>44089</v>
      </c>
      <c r="J25" s="18" t="s">
        <v>189</v>
      </c>
      <c r="K25" s="19" t="str">
        <f t="shared" ca="1" si="2"/>
        <v>Completed</v>
      </c>
      <c r="L25" s="27" t="str">
        <f t="shared" ca="1" si="3"/>
        <v>No</v>
      </c>
    </row>
    <row r="26" spans="1:12" x14ac:dyDescent="0.3">
      <c r="A26" s="2">
        <v>25</v>
      </c>
      <c r="B26" s="10">
        <v>43891</v>
      </c>
      <c r="C26" s="2" t="s">
        <v>45</v>
      </c>
      <c r="D26" s="2" t="s">
        <v>24</v>
      </c>
      <c r="E26" s="1">
        <v>43994</v>
      </c>
      <c r="F26" s="22">
        <f t="shared" ca="1" si="0"/>
        <v>36</v>
      </c>
      <c r="G26" s="12">
        <f t="shared" ca="1" si="1"/>
        <v>36</v>
      </c>
      <c r="H26" s="2" t="str">
        <f>INDEX('Name &amp; Email id'!C:D,MATCH(D26,'Name &amp; Email id'!C:C,0),2)</f>
        <v>cremonini@att.net</v>
      </c>
      <c r="I26" s="1">
        <v>44089</v>
      </c>
      <c r="J26" s="18" t="s">
        <v>189</v>
      </c>
      <c r="K26" s="19" t="str">
        <f t="shared" ca="1" si="2"/>
        <v>Completed</v>
      </c>
      <c r="L26" s="27" t="str">
        <f t="shared" ca="1" si="3"/>
        <v>No</v>
      </c>
    </row>
    <row r="27" spans="1:12" x14ac:dyDescent="0.3">
      <c r="A27" s="2">
        <v>26</v>
      </c>
      <c r="B27" s="10">
        <v>43891</v>
      </c>
      <c r="C27" s="2" t="s">
        <v>46</v>
      </c>
      <c r="D27" s="2" t="s">
        <v>26</v>
      </c>
      <c r="E27" s="1">
        <v>44027</v>
      </c>
      <c r="F27" s="22">
        <f t="shared" ca="1" si="0"/>
        <v>69</v>
      </c>
      <c r="G27" s="12">
        <f t="shared" ca="1" si="1"/>
        <v>69</v>
      </c>
      <c r="H27" s="2" t="str">
        <f>INDEX('Name &amp; Email id'!C:D,MATCH(D27,'Name &amp; Email id'!C:C,0),2)</f>
        <v>pereinar@yahoo.com</v>
      </c>
      <c r="I27" s="1">
        <v>43994</v>
      </c>
      <c r="J27" s="18" t="s">
        <v>189</v>
      </c>
      <c r="K27" s="19" t="str">
        <f t="shared" ca="1" si="2"/>
        <v>Completed</v>
      </c>
      <c r="L27" s="27" t="str">
        <f t="shared" ca="1" si="3"/>
        <v>Yes</v>
      </c>
    </row>
    <row r="28" spans="1:12" x14ac:dyDescent="0.3">
      <c r="A28" s="2">
        <v>27</v>
      </c>
      <c r="B28" s="10">
        <v>43891</v>
      </c>
      <c r="C28" s="2" t="s">
        <v>47</v>
      </c>
      <c r="D28" s="2" t="s">
        <v>28</v>
      </c>
      <c r="E28" s="1">
        <v>44119</v>
      </c>
      <c r="F28" s="22">
        <f t="shared" ca="1" si="0"/>
        <v>161</v>
      </c>
      <c r="G28" s="12">
        <f t="shared" ca="1" si="1"/>
        <v>161</v>
      </c>
      <c r="H28" s="2" t="str">
        <f>INDEX('Name &amp; Email id'!C:D,MATCH(D28,'Name &amp; Email id'!C:C,0),2)</f>
        <v>mschwartz@att.net</v>
      </c>
      <c r="I28" s="1">
        <v>43994</v>
      </c>
      <c r="J28" s="18" t="s">
        <v>189</v>
      </c>
      <c r="K28" s="19" t="str">
        <f t="shared" ca="1" si="2"/>
        <v>Completed</v>
      </c>
      <c r="L28" s="27" t="str">
        <f t="shared" ca="1" si="3"/>
        <v>Yes</v>
      </c>
    </row>
    <row r="29" spans="1:12" x14ac:dyDescent="0.3">
      <c r="A29" s="2">
        <v>28</v>
      </c>
      <c r="B29" s="10">
        <v>43891</v>
      </c>
      <c r="C29" s="2" t="s">
        <v>48</v>
      </c>
      <c r="D29" s="2" t="s">
        <v>30</v>
      </c>
      <c r="E29" s="1">
        <v>44114</v>
      </c>
      <c r="F29" s="22">
        <f t="shared" ca="1" si="0"/>
        <v>156</v>
      </c>
      <c r="G29" s="12">
        <f t="shared" ca="1" si="1"/>
        <v>156</v>
      </c>
      <c r="H29" s="2" t="str">
        <f>INDEX('Name &amp; Email id'!C:D,MATCH(D29,'Name &amp; Email id'!C:C,0),2)</f>
        <v>johnparker@gmail.com</v>
      </c>
      <c r="I29" s="1">
        <v>44037</v>
      </c>
      <c r="J29" s="18" t="s">
        <v>189</v>
      </c>
      <c r="K29" s="19" t="str">
        <f t="shared" ca="1" si="2"/>
        <v>Completed</v>
      </c>
      <c r="L29" s="27" t="str">
        <f t="shared" ca="1" si="3"/>
        <v>Yes</v>
      </c>
    </row>
    <row r="30" spans="1:12" x14ac:dyDescent="0.3">
      <c r="A30" s="2">
        <v>29</v>
      </c>
      <c r="B30" s="10">
        <v>43891</v>
      </c>
      <c r="C30" s="2" t="s">
        <v>49</v>
      </c>
      <c r="D30" s="2" t="s">
        <v>14</v>
      </c>
      <c r="E30" s="1">
        <v>44037</v>
      </c>
      <c r="F30" s="22">
        <f t="shared" ca="1" si="0"/>
        <v>79</v>
      </c>
      <c r="G30" s="12">
        <f t="shared" ca="1" si="1"/>
        <v>79</v>
      </c>
      <c r="H30" s="2" t="str">
        <f>INDEX('Name &amp; Email id'!C:D,MATCH(D30,'Name &amp; Email id'!C:C,0),2)</f>
        <v>isotopian@icloud.com</v>
      </c>
      <c r="I30" s="1">
        <v>44101</v>
      </c>
      <c r="J30" s="18" t="s">
        <v>193</v>
      </c>
      <c r="K30" s="19" t="str">
        <f t="shared" ca="1" si="2"/>
        <v>Closed</v>
      </c>
      <c r="L30" s="27" t="str">
        <f t="shared" ca="1" si="3"/>
        <v>No</v>
      </c>
    </row>
    <row r="31" spans="1:12" x14ac:dyDescent="0.3">
      <c r="A31" s="2">
        <v>30</v>
      </c>
      <c r="B31" s="10">
        <v>43891</v>
      </c>
      <c r="C31" s="2" t="s">
        <v>50</v>
      </c>
      <c r="D31" s="2" t="s">
        <v>16</v>
      </c>
      <c r="E31" s="1">
        <v>44043</v>
      </c>
      <c r="F31" s="22">
        <f t="shared" ca="1" si="0"/>
        <v>85</v>
      </c>
      <c r="G31" s="12">
        <f t="shared" ca="1" si="1"/>
        <v>85</v>
      </c>
      <c r="H31" s="2" t="str">
        <f>INDEX('Name &amp; Email id'!C:D,MATCH(D31,'Name &amp; Email id'!C:C,0),2)</f>
        <v>denism@aol.com</v>
      </c>
      <c r="I31" s="1">
        <v>44134</v>
      </c>
      <c r="J31" s="18" t="s">
        <v>189</v>
      </c>
      <c r="K31" s="19" t="str">
        <f t="shared" ca="1" si="2"/>
        <v>Completed</v>
      </c>
      <c r="L31" s="27" t="str">
        <f t="shared" ca="1" si="3"/>
        <v>No</v>
      </c>
    </row>
    <row r="32" spans="1:12" x14ac:dyDescent="0.3">
      <c r="A32" s="2">
        <v>31</v>
      </c>
      <c r="B32" s="10">
        <v>43891</v>
      </c>
      <c r="C32" s="2" t="s">
        <v>51</v>
      </c>
      <c r="D32" s="2" t="s">
        <v>18</v>
      </c>
      <c r="E32" s="1">
        <v>44134</v>
      </c>
      <c r="F32" s="22">
        <f t="shared" ca="1" si="0"/>
        <v>176</v>
      </c>
      <c r="G32" s="12">
        <f t="shared" ca="1" si="1"/>
        <v>176</v>
      </c>
      <c r="H32" s="2" t="str">
        <f>INDEX('Name &amp; Email id'!C:D,MATCH(D32,'Name &amp; Email id'!C:C,0),2)</f>
        <v>bmorrow@verizon.net</v>
      </c>
      <c r="I32" s="1">
        <v>44042</v>
      </c>
      <c r="J32" s="18" t="s">
        <v>189</v>
      </c>
      <c r="K32" s="19" t="str">
        <f t="shared" ca="1" si="2"/>
        <v>Completed</v>
      </c>
      <c r="L32" s="27" t="str">
        <f t="shared" ca="1" si="3"/>
        <v>Yes</v>
      </c>
    </row>
    <row r="33" spans="1:12" x14ac:dyDescent="0.3">
      <c r="A33" s="2">
        <v>32</v>
      </c>
      <c r="B33" s="10">
        <v>43891</v>
      </c>
      <c r="C33" s="2" t="s">
        <v>52</v>
      </c>
      <c r="D33" s="2" t="s">
        <v>20</v>
      </c>
      <c r="E33" s="1">
        <v>44042</v>
      </c>
      <c r="F33" s="22">
        <f t="shared" ca="1" si="0"/>
        <v>84</v>
      </c>
      <c r="G33" s="12">
        <f t="shared" ca="1" si="1"/>
        <v>84</v>
      </c>
      <c r="H33" s="2" t="str">
        <f>INDEX('Name &amp; Email id'!C:D,MATCH(D33,'Name &amp; Email id'!C:C,0),2)</f>
        <v>bartlett@mac.com</v>
      </c>
      <c r="I33" s="1">
        <v>43994</v>
      </c>
      <c r="J33" s="18" t="s">
        <v>189</v>
      </c>
      <c r="K33" s="19" t="str">
        <f t="shared" ca="1" si="2"/>
        <v>Completed</v>
      </c>
      <c r="L33" s="27" t="str">
        <f t="shared" ca="1" si="3"/>
        <v>Yes</v>
      </c>
    </row>
    <row r="34" spans="1:12" x14ac:dyDescent="0.3">
      <c r="A34" s="2">
        <v>33</v>
      </c>
      <c r="B34" s="10">
        <v>43891</v>
      </c>
      <c r="C34" s="2" t="s">
        <v>53</v>
      </c>
      <c r="D34" s="2" t="s">
        <v>22</v>
      </c>
      <c r="E34" s="1">
        <v>43994</v>
      </c>
      <c r="F34" s="22">
        <f t="shared" ref="F34:F65" ca="1" si="4">$E34-TODAY()</f>
        <v>36</v>
      </c>
      <c r="G34" s="12">
        <f t="shared" ref="G34:G65" ca="1" si="5">IF(K34="Overdue",0,IF(F34&lt;0,"",F34))</f>
        <v>36</v>
      </c>
      <c r="H34" s="2" t="str">
        <f>INDEX('Name &amp; Email id'!C:D,MATCH(D34,'Name &amp; Email id'!C:C,0),2)</f>
        <v>aukjan@msn.com</v>
      </c>
      <c r="I34" s="1">
        <v>44022</v>
      </c>
      <c r="J34" s="18" t="s">
        <v>189</v>
      </c>
      <c r="K34" s="19" t="str">
        <f t="shared" ref="K34:K65" ca="1" si="6">IF($J34="D","Completed",IF($J34="C","Closed",IF(AND($J34="W",TODAY()&lt;$E34),"Days left "&amp;E34-TODAY(),IF(AND($J34="W",TODAY()&gt;=E34),"Overdue"," "))))</f>
        <v>Completed</v>
      </c>
      <c r="L34" s="27" t="str">
        <f t="shared" ref="L34:L65" ca="1" si="7">IF(OR($K34="Completed",$K34="Closed"),IF($I34&lt;E34,"Yes","No"),"")</f>
        <v>No</v>
      </c>
    </row>
    <row r="35" spans="1:12" x14ac:dyDescent="0.3">
      <c r="A35" s="2">
        <v>34</v>
      </c>
      <c r="B35" s="10">
        <v>43891</v>
      </c>
      <c r="C35" s="2" t="s">
        <v>54</v>
      </c>
      <c r="D35" s="2" t="s">
        <v>24</v>
      </c>
      <c r="E35" s="1">
        <v>44022</v>
      </c>
      <c r="F35" s="22">
        <f t="shared" ca="1" si="4"/>
        <v>64</v>
      </c>
      <c r="G35" s="12">
        <f t="shared" ca="1" si="5"/>
        <v>64</v>
      </c>
      <c r="H35" s="2" t="str">
        <f>INDEX('Name &amp; Email id'!C:D,MATCH(D35,'Name &amp; Email id'!C:C,0),2)</f>
        <v>cremonini@att.net</v>
      </c>
      <c r="I35" s="1">
        <v>44097</v>
      </c>
      <c r="J35" s="18" t="s">
        <v>189</v>
      </c>
      <c r="K35" s="19" t="str">
        <f t="shared" ca="1" si="6"/>
        <v>Completed</v>
      </c>
      <c r="L35" s="27" t="str">
        <f t="shared" ca="1" si="7"/>
        <v>No</v>
      </c>
    </row>
    <row r="36" spans="1:12" x14ac:dyDescent="0.3">
      <c r="A36" s="2">
        <v>35</v>
      </c>
      <c r="B36" s="10">
        <v>43891</v>
      </c>
      <c r="C36" s="2" t="s">
        <v>55</v>
      </c>
      <c r="D36" s="2" t="s">
        <v>26</v>
      </c>
      <c r="E36" s="1">
        <v>44104</v>
      </c>
      <c r="F36" s="22">
        <f t="shared" ca="1" si="4"/>
        <v>146</v>
      </c>
      <c r="G36" s="12">
        <f t="shared" ca="1" si="5"/>
        <v>146</v>
      </c>
      <c r="H36" s="2" t="str">
        <f>INDEX('Name &amp; Email id'!C:D,MATCH(D36,'Name &amp; Email id'!C:C,0),2)</f>
        <v>pereinar@yahoo.com</v>
      </c>
      <c r="I36" s="1">
        <v>44089</v>
      </c>
      <c r="J36" s="18" t="s">
        <v>189</v>
      </c>
      <c r="K36" s="19" t="str">
        <f t="shared" ca="1" si="6"/>
        <v>Completed</v>
      </c>
      <c r="L36" s="27" t="str">
        <f t="shared" ca="1" si="7"/>
        <v>Yes</v>
      </c>
    </row>
    <row r="37" spans="1:12" x14ac:dyDescent="0.3">
      <c r="A37" s="2">
        <v>36</v>
      </c>
      <c r="B37" s="10">
        <v>43891</v>
      </c>
      <c r="C37" s="2" t="s">
        <v>56</v>
      </c>
      <c r="D37" s="2" t="s">
        <v>28</v>
      </c>
      <c r="E37" s="1">
        <v>44089</v>
      </c>
      <c r="F37" s="22">
        <f t="shared" ca="1" si="4"/>
        <v>131</v>
      </c>
      <c r="G37" s="12">
        <f t="shared" ca="1" si="5"/>
        <v>131</v>
      </c>
      <c r="H37" s="2" t="str">
        <f>INDEX('Name &amp; Email id'!C:D,MATCH(D37,'Name &amp; Email id'!C:C,0),2)</f>
        <v>mschwartz@att.net</v>
      </c>
      <c r="I37" s="1">
        <v>44094</v>
      </c>
      <c r="J37" s="18" t="s">
        <v>189</v>
      </c>
      <c r="K37" s="19" t="str">
        <f t="shared" ca="1" si="6"/>
        <v>Completed</v>
      </c>
      <c r="L37" s="27" t="str">
        <f t="shared" ca="1" si="7"/>
        <v>No</v>
      </c>
    </row>
    <row r="38" spans="1:12" x14ac:dyDescent="0.3">
      <c r="A38" s="2">
        <v>37</v>
      </c>
      <c r="B38" s="10">
        <v>43891</v>
      </c>
      <c r="C38" s="2" t="s">
        <v>57</v>
      </c>
      <c r="D38" s="2" t="s">
        <v>30</v>
      </c>
      <c r="E38" s="1">
        <v>44094</v>
      </c>
      <c r="F38" s="22">
        <f t="shared" ca="1" si="4"/>
        <v>136</v>
      </c>
      <c r="G38" s="12">
        <f t="shared" ca="1" si="5"/>
        <v>136</v>
      </c>
      <c r="H38" s="2" t="str">
        <f>INDEX('Name &amp; Email id'!C:D,MATCH(D38,'Name &amp; Email id'!C:C,0),2)</f>
        <v>johnparker@gmail.com</v>
      </c>
      <c r="I38" s="1">
        <v>44092</v>
      </c>
      <c r="J38" s="18" t="s">
        <v>189</v>
      </c>
      <c r="K38" s="19" t="str">
        <f t="shared" ca="1" si="6"/>
        <v>Completed</v>
      </c>
      <c r="L38" s="27" t="str">
        <f t="shared" ca="1" si="7"/>
        <v>Yes</v>
      </c>
    </row>
    <row r="39" spans="1:12" x14ac:dyDescent="0.3">
      <c r="A39" s="2">
        <v>38</v>
      </c>
      <c r="B39" s="10">
        <v>43891</v>
      </c>
      <c r="C39" s="2" t="s">
        <v>58</v>
      </c>
      <c r="D39" s="2" t="s">
        <v>14</v>
      </c>
      <c r="E39" s="1">
        <v>44094</v>
      </c>
      <c r="F39" s="22">
        <f t="shared" ca="1" si="4"/>
        <v>136</v>
      </c>
      <c r="G39" s="12">
        <f t="shared" ca="1" si="5"/>
        <v>136</v>
      </c>
      <c r="H39" s="2" t="str">
        <f>INDEX('Name &amp; Email id'!C:D,MATCH(D39,'Name &amp; Email id'!C:C,0),2)</f>
        <v>isotopian@icloud.com</v>
      </c>
      <c r="I39" s="1">
        <v>44088</v>
      </c>
      <c r="J39" s="18" t="s">
        <v>189</v>
      </c>
      <c r="K39" s="19" t="str">
        <f t="shared" ca="1" si="6"/>
        <v>Completed</v>
      </c>
      <c r="L39" s="27" t="str">
        <f t="shared" ca="1" si="7"/>
        <v>Yes</v>
      </c>
    </row>
    <row r="40" spans="1:12" x14ac:dyDescent="0.3">
      <c r="A40" s="2">
        <v>39</v>
      </c>
      <c r="B40" s="10">
        <v>43891</v>
      </c>
      <c r="C40" s="2" t="s">
        <v>59</v>
      </c>
      <c r="D40" s="2" t="s">
        <v>16</v>
      </c>
      <c r="E40" s="1">
        <v>44089</v>
      </c>
      <c r="F40" s="22">
        <f t="shared" ca="1" si="4"/>
        <v>131</v>
      </c>
      <c r="G40" s="12">
        <f t="shared" ca="1" si="5"/>
        <v>131</v>
      </c>
      <c r="H40" s="2" t="str">
        <f>INDEX('Name &amp; Email id'!C:D,MATCH(D40,'Name &amp; Email id'!C:C,0),2)</f>
        <v>denism@aol.com</v>
      </c>
      <c r="I40" s="1">
        <v>44086</v>
      </c>
      <c r="J40" s="18" t="s">
        <v>189</v>
      </c>
      <c r="K40" s="19" t="str">
        <f t="shared" ca="1" si="6"/>
        <v>Completed</v>
      </c>
      <c r="L40" s="27" t="str">
        <f t="shared" ca="1" si="7"/>
        <v>Yes</v>
      </c>
    </row>
    <row r="41" spans="1:12" x14ac:dyDescent="0.3">
      <c r="A41" s="2">
        <v>40</v>
      </c>
      <c r="B41" s="10">
        <v>43891</v>
      </c>
      <c r="C41" s="2" t="s">
        <v>60</v>
      </c>
      <c r="D41" s="2" t="s">
        <v>18</v>
      </c>
      <c r="E41" s="1">
        <v>44089</v>
      </c>
      <c r="F41" s="22">
        <f t="shared" ca="1" si="4"/>
        <v>131</v>
      </c>
      <c r="G41" s="12">
        <f t="shared" ca="1" si="5"/>
        <v>131</v>
      </c>
      <c r="H41" s="2" t="str">
        <f>INDEX('Name &amp; Email id'!C:D,MATCH(D41,'Name &amp; Email id'!C:C,0),2)</f>
        <v>bmorrow@verizon.net</v>
      </c>
      <c r="I41" s="1">
        <v>44102</v>
      </c>
      <c r="J41" s="18" t="s">
        <v>189</v>
      </c>
      <c r="K41" s="19" t="str">
        <f t="shared" ca="1" si="6"/>
        <v>Completed</v>
      </c>
      <c r="L41" s="27" t="str">
        <f t="shared" ca="1" si="7"/>
        <v>No</v>
      </c>
    </row>
    <row r="42" spans="1:12" x14ac:dyDescent="0.3">
      <c r="A42" s="2">
        <v>41</v>
      </c>
      <c r="B42" s="10">
        <v>43891</v>
      </c>
      <c r="C42" s="2" t="s">
        <v>61</v>
      </c>
      <c r="D42" s="2" t="s">
        <v>20</v>
      </c>
      <c r="E42" s="1">
        <v>44101</v>
      </c>
      <c r="F42" s="22">
        <f t="shared" ca="1" si="4"/>
        <v>143</v>
      </c>
      <c r="G42" s="12">
        <f t="shared" ca="1" si="5"/>
        <v>143</v>
      </c>
      <c r="H42" s="2" t="str">
        <f>INDEX('Name &amp; Email id'!C:D,MATCH(D42,'Name &amp; Email id'!C:C,0),2)</f>
        <v>bartlett@mac.com</v>
      </c>
      <c r="I42" s="1">
        <v>44084</v>
      </c>
      <c r="J42" s="18" t="s">
        <v>189</v>
      </c>
      <c r="K42" s="19" t="str">
        <f t="shared" ca="1" si="6"/>
        <v>Completed</v>
      </c>
      <c r="L42" s="27" t="str">
        <f t="shared" ca="1" si="7"/>
        <v>Yes</v>
      </c>
    </row>
    <row r="43" spans="1:12" x14ac:dyDescent="0.3">
      <c r="A43" s="2">
        <v>42</v>
      </c>
      <c r="B43" s="10">
        <v>43891</v>
      </c>
      <c r="C43" s="2" t="s">
        <v>62</v>
      </c>
      <c r="D43" s="2" t="s">
        <v>22</v>
      </c>
      <c r="E43" s="1">
        <v>44083</v>
      </c>
      <c r="F43" s="22">
        <f t="shared" ca="1" si="4"/>
        <v>125</v>
      </c>
      <c r="G43" s="12">
        <f t="shared" ca="1" si="5"/>
        <v>125</v>
      </c>
      <c r="H43" s="2" t="str">
        <f>INDEX('Name &amp; Email id'!C:D,MATCH(D43,'Name &amp; Email id'!C:C,0),2)</f>
        <v>aukjan@msn.com</v>
      </c>
      <c r="I43" s="1">
        <v>44121</v>
      </c>
      <c r="J43" s="18" t="s">
        <v>189</v>
      </c>
      <c r="K43" s="19" t="str">
        <f t="shared" ca="1" si="6"/>
        <v>Completed</v>
      </c>
      <c r="L43" s="27" t="str">
        <f t="shared" ca="1" si="7"/>
        <v>No</v>
      </c>
    </row>
    <row r="44" spans="1:12" x14ac:dyDescent="0.3">
      <c r="A44" s="2">
        <v>43</v>
      </c>
      <c r="B44" s="10">
        <v>43891</v>
      </c>
      <c r="C44" s="2" t="s">
        <v>63</v>
      </c>
      <c r="D44" s="2" t="s">
        <v>24</v>
      </c>
      <c r="E44" s="1">
        <v>44114</v>
      </c>
      <c r="F44" s="22">
        <f t="shared" ca="1" si="4"/>
        <v>156</v>
      </c>
      <c r="G44" s="12">
        <f t="shared" ca="1" si="5"/>
        <v>156</v>
      </c>
      <c r="H44" s="2" t="str">
        <f>INDEX('Name &amp; Email id'!C:D,MATCH(D44,'Name &amp; Email id'!C:C,0),2)</f>
        <v>cremonini@att.net</v>
      </c>
      <c r="I44" s="1">
        <v>44094</v>
      </c>
      <c r="J44" s="18" t="s">
        <v>189</v>
      </c>
      <c r="K44" s="19" t="str">
        <f t="shared" ca="1" si="6"/>
        <v>Completed</v>
      </c>
      <c r="L44" s="27" t="str">
        <f t="shared" ca="1" si="7"/>
        <v>Yes</v>
      </c>
    </row>
    <row r="45" spans="1:12" x14ac:dyDescent="0.3">
      <c r="A45" s="2">
        <v>44</v>
      </c>
      <c r="B45" s="10">
        <v>43891</v>
      </c>
      <c r="C45" s="2" t="s">
        <v>64</v>
      </c>
      <c r="D45" s="2" t="s">
        <v>26</v>
      </c>
      <c r="E45" s="1">
        <v>44088</v>
      </c>
      <c r="F45" s="22">
        <f t="shared" ca="1" si="4"/>
        <v>130</v>
      </c>
      <c r="G45" s="12">
        <f t="shared" ca="1" si="5"/>
        <v>130</v>
      </c>
      <c r="H45" s="2" t="str">
        <f>INDEX('Name &amp; Email id'!C:D,MATCH(D45,'Name &amp; Email id'!C:C,0),2)</f>
        <v>pereinar@yahoo.com</v>
      </c>
      <c r="I45" s="1">
        <v>44085</v>
      </c>
      <c r="J45" s="18" t="s">
        <v>189</v>
      </c>
      <c r="K45" s="19" t="str">
        <f t="shared" ca="1" si="6"/>
        <v>Completed</v>
      </c>
      <c r="L45" s="27" t="str">
        <f t="shared" ca="1" si="7"/>
        <v>Yes</v>
      </c>
    </row>
    <row r="46" spans="1:12" x14ac:dyDescent="0.3">
      <c r="A46" s="2">
        <v>45</v>
      </c>
      <c r="B46" s="10">
        <v>43891</v>
      </c>
      <c r="C46" s="2" t="s">
        <v>65</v>
      </c>
      <c r="D46" s="2" t="s">
        <v>28</v>
      </c>
      <c r="E46" s="1">
        <v>44086</v>
      </c>
      <c r="F46" s="22">
        <f t="shared" ca="1" si="4"/>
        <v>128</v>
      </c>
      <c r="G46" s="12">
        <f t="shared" ca="1" si="5"/>
        <v>128</v>
      </c>
      <c r="H46" s="2" t="str">
        <f>INDEX('Name &amp; Email id'!C:D,MATCH(D46,'Name &amp; Email id'!C:C,0),2)</f>
        <v>mschwartz@att.net</v>
      </c>
      <c r="I46" s="1">
        <v>44100</v>
      </c>
      <c r="J46" s="18" t="s">
        <v>189</v>
      </c>
      <c r="K46" s="19" t="str">
        <f t="shared" ca="1" si="6"/>
        <v>Completed</v>
      </c>
      <c r="L46" s="27" t="str">
        <f t="shared" ca="1" si="7"/>
        <v>No</v>
      </c>
    </row>
    <row r="47" spans="1:12" x14ac:dyDescent="0.3">
      <c r="A47" s="2">
        <v>46</v>
      </c>
      <c r="B47" s="10">
        <v>43891</v>
      </c>
      <c r="C47" s="2" t="s">
        <v>66</v>
      </c>
      <c r="D47" s="2" t="s">
        <v>30</v>
      </c>
      <c r="E47" s="1">
        <v>44088</v>
      </c>
      <c r="F47" s="22">
        <f t="shared" ca="1" si="4"/>
        <v>130</v>
      </c>
      <c r="G47" s="12">
        <f t="shared" ca="1" si="5"/>
        <v>130</v>
      </c>
      <c r="H47" s="2" t="str">
        <f>INDEX('Name &amp; Email id'!C:D,MATCH(D47,'Name &amp; Email id'!C:C,0),2)</f>
        <v>johnparker@gmail.com</v>
      </c>
      <c r="I47" s="1">
        <v>44179</v>
      </c>
      <c r="J47" s="18" t="s">
        <v>193</v>
      </c>
      <c r="K47" s="19" t="str">
        <f t="shared" ca="1" si="6"/>
        <v>Closed</v>
      </c>
      <c r="L47" s="27" t="str">
        <f t="shared" ca="1" si="7"/>
        <v>No</v>
      </c>
    </row>
    <row r="48" spans="1:12" x14ac:dyDescent="0.3">
      <c r="A48" s="2">
        <v>47</v>
      </c>
      <c r="B48" s="10">
        <v>43891</v>
      </c>
      <c r="C48" s="2" t="s">
        <v>67</v>
      </c>
      <c r="D48" s="2" t="s">
        <v>14</v>
      </c>
      <c r="E48" s="1">
        <v>44125</v>
      </c>
      <c r="F48" s="22">
        <f t="shared" ca="1" si="4"/>
        <v>167</v>
      </c>
      <c r="G48" s="12">
        <f t="shared" ca="1" si="5"/>
        <v>167</v>
      </c>
      <c r="H48" s="2" t="str">
        <f>INDEX('Name &amp; Email id'!C:D,MATCH(D48,'Name &amp; Email id'!C:C,0),2)</f>
        <v>isotopian@icloud.com</v>
      </c>
      <c r="I48" s="1">
        <v>44094</v>
      </c>
      <c r="J48" s="18" t="s">
        <v>189</v>
      </c>
      <c r="K48" s="19" t="str">
        <f t="shared" ca="1" si="6"/>
        <v>Completed</v>
      </c>
      <c r="L48" s="27" t="str">
        <f t="shared" ca="1" si="7"/>
        <v>Yes</v>
      </c>
    </row>
    <row r="49" spans="1:12" x14ac:dyDescent="0.3">
      <c r="A49" s="2">
        <v>48</v>
      </c>
      <c r="B49" s="10">
        <v>43891</v>
      </c>
      <c r="C49" s="2" t="s">
        <v>68</v>
      </c>
      <c r="D49" s="2" t="s">
        <v>16</v>
      </c>
      <c r="E49" s="1">
        <v>44084</v>
      </c>
      <c r="F49" s="22">
        <f t="shared" ca="1" si="4"/>
        <v>126</v>
      </c>
      <c r="G49" s="12">
        <f t="shared" ca="1" si="5"/>
        <v>126</v>
      </c>
      <c r="H49" s="2" t="str">
        <f>INDEX('Name &amp; Email id'!C:D,MATCH(D49,'Name &amp; Email id'!C:C,0),2)</f>
        <v>denism@aol.com</v>
      </c>
      <c r="I49" s="1"/>
      <c r="J49" s="18" t="s">
        <v>191</v>
      </c>
      <c r="K49" s="19" t="str">
        <f t="shared" ca="1" si="6"/>
        <v>Days left 126</v>
      </c>
      <c r="L49" s="27" t="str">
        <f t="shared" ca="1" si="7"/>
        <v/>
      </c>
    </row>
    <row r="50" spans="1:12" x14ac:dyDescent="0.3">
      <c r="A50" s="2">
        <v>49</v>
      </c>
      <c r="B50" s="10">
        <v>43891</v>
      </c>
      <c r="C50" s="2" t="s">
        <v>69</v>
      </c>
      <c r="D50" s="2" t="s">
        <v>18</v>
      </c>
      <c r="E50" s="1">
        <v>43921</v>
      </c>
      <c r="F50" s="22">
        <f t="shared" ca="1" si="4"/>
        <v>-37</v>
      </c>
      <c r="G50" s="12" t="str">
        <f t="shared" ca="1" si="5"/>
        <v/>
      </c>
      <c r="H50" s="2" t="str">
        <f>INDEX('Name &amp; Email id'!C:D,MATCH(D50,'Name &amp; Email id'!C:C,0),2)</f>
        <v>bmorrow@verizon.net</v>
      </c>
      <c r="I50" s="1">
        <v>44096</v>
      </c>
      <c r="J50" s="18" t="s">
        <v>189</v>
      </c>
      <c r="K50" s="19" t="str">
        <f t="shared" ca="1" si="6"/>
        <v>Completed</v>
      </c>
      <c r="L50" s="27" t="str">
        <f t="shared" ca="1" si="7"/>
        <v>No</v>
      </c>
    </row>
    <row r="51" spans="1:12" x14ac:dyDescent="0.3">
      <c r="A51" s="2">
        <v>50</v>
      </c>
      <c r="B51" s="10">
        <v>43891</v>
      </c>
      <c r="C51" s="2" t="s">
        <v>70</v>
      </c>
      <c r="D51" s="2" t="s">
        <v>20</v>
      </c>
      <c r="E51" s="1">
        <v>44104</v>
      </c>
      <c r="F51" s="22">
        <f t="shared" ca="1" si="4"/>
        <v>146</v>
      </c>
      <c r="G51" s="12">
        <f t="shared" ca="1" si="5"/>
        <v>146</v>
      </c>
      <c r="H51" s="2" t="str">
        <f>INDEX('Name &amp; Email id'!C:D,MATCH(D51,'Name &amp; Email id'!C:C,0),2)</f>
        <v>bartlett@mac.com</v>
      </c>
      <c r="I51" s="1">
        <v>44089</v>
      </c>
      <c r="J51" s="18" t="s">
        <v>189</v>
      </c>
      <c r="K51" s="19" t="str">
        <f t="shared" ca="1" si="6"/>
        <v>Completed</v>
      </c>
      <c r="L51" s="27" t="str">
        <f t="shared" ca="1" si="7"/>
        <v>Yes</v>
      </c>
    </row>
    <row r="52" spans="1:12" x14ac:dyDescent="0.3">
      <c r="A52" s="2">
        <v>51</v>
      </c>
      <c r="B52" s="10">
        <v>43891</v>
      </c>
      <c r="C52" s="2" t="s">
        <v>71</v>
      </c>
      <c r="D52" s="2" t="s">
        <v>22</v>
      </c>
      <c r="E52" s="1">
        <v>44079</v>
      </c>
      <c r="F52" s="22">
        <f t="shared" ca="1" si="4"/>
        <v>121</v>
      </c>
      <c r="G52" s="12">
        <f t="shared" ca="1" si="5"/>
        <v>121</v>
      </c>
      <c r="H52" s="2" t="str">
        <f>INDEX('Name &amp; Email id'!C:D,MATCH(D52,'Name &amp; Email id'!C:C,0),2)</f>
        <v>aukjan@msn.com</v>
      </c>
      <c r="I52" s="1">
        <v>44090</v>
      </c>
      <c r="J52" s="18" t="s">
        <v>189</v>
      </c>
      <c r="K52" s="19" t="str">
        <f t="shared" ca="1" si="6"/>
        <v>Completed</v>
      </c>
      <c r="L52" s="27" t="str">
        <f t="shared" ca="1" si="7"/>
        <v>No</v>
      </c>
    </row>
    <row r="53" spans="1:12" x14ac:dyDescent="0.3">
      <c r="A53" s="2">
        <v>52</v>
      </c>
      <c r="B53" s="10">
        <v>43891</v>
      </c>
      <c r="C53" s="2" t="s">
        <v>72</v>
      </c>
      <c r="D53" s="2" t="s">
        <v>24</v>
      </c>
      <c r="E53" s="1">
        <v>44081</v>
      </c>
      <c r="F53" s="22">
        <f t="shared" ca="1" si="4"/>
        <v>123</v>
      </c>
      <c r="G53" s="12">
        <f t="shared" ca="1" si="5"/>
        <v>123</v>
      </c>
      <c r="H53" s="2" t="str">
        <f>INDEX('Name &amp; Email id'!C:D,MATCH(D53,'Name &amp; Email id'!C:C,0),2)</f>
        <v>cremonini@att.net</v>
      </c>
      <c r="I53" s="1">
        <v>44090</v>
      </c>
      <c r="J53" s="18" t="s">
        <v>189</v>
      </c>
      <c r="K53" s="19" t="str">
        <f t="shared" ca="1" si="6"/>
        <v>Completed</v>
      </c>
      <c r="L53" s="27" t="str">
        <f t="shared" ca="1" si="7"/>
        <v>No</v>
      </c>
    </row>
    <row r="54" spans="1:12" x14ac:dyDescent="0.3">
      <c r="A54" s="2">
        <v>53</v>
      </c>
      <c r="B54" s="10">
        <v>43891</v>
      </c>
      <c r="C54" s="2" t="s">
        <v>73</v>
      </c>
      <c r="D54" s="2" t="s">
        <v>26</v>
      </c>
      <c r="E54" s="1">
        <v>44134</v>
      </c>
      <c r="F54" s="22">
        <f t="shared" ca="1" si="4"/>
        <v>176</v>
      </c>
      <c r="G54" s="12">
        <f t="shared" ca="1" si="5"/>
        <v>176</v>
      </c>
      <c r="H54" s="2" t="str">
        <f>INDEX('Name &amp; Email id'!C:D,MATCH(D54,'Name &amp; Email id'!C:C,0),2)</f>
        <v>pereinar@yahoo.com</v>
      </c>
      <c r="I54" s="1">
        <v>44061</v>
      </c>
      <c r="J54" s="18" t="s">
        <v>189</v>
      </c>
      <c r="K54" s="19" t="str">
        <f t="shared" ca="1" si="6"/>
        <v>Completed</v>
      </c>
      <c r="L54" s="27" t="str">
        <f t="shared" ca="1" si="7"/>
        <v>Yes</v>
      </c>
    </row>
    <row r="55" spans="1:12" x14ac:dyDescent="0.3">
      <c r="A55" s="2">
        <v>54</v>
      </c>
      <c r="B55" s="10">
        <v>43891</v>
      </c>
      <c r="C55" s="2" t="s">
        <v>74</v>
      </c>
      <c r="D55" s="2" t="s">
        <v>28</v>
      </c>
      <c r="E55" s="1">
        <v>44061</v>
      </c>
      <c r="F55" s="22">
        <f t="shared" ca="1" si="4"/>
        <v>103</v>
      </c>
      <c r="G55" s="12">
        <f t="shared" ca="1" si="5"/>
        <v>103</v>
      </c>
      <c r="H55" s="2" t="str">
        <f>INDEX('Name &amp; Email id'!C:D,MATCH(D55,'Name &amp; Email id'!C:C,0),2)</f>
        <v>mschwartz@att.net</v>
      </c>
      <c r="I55" s="1">
        <v>44061</v>
      </c>
      <c r="J55" s="18" t="s">
        <v>189</v>
      </c>
      <c r="K55" s="19" t="str">
        <f t="shared" ca="1" si="6"/>
        <v>Completed</v>
      </c>
      <c r="L55" s="27" t="str">
        <f t="shared" ca="1" si="7"/>
        <v>No</v>
      </c>
    </row>
    <row r="56" spans="1:12" x14ac:dyDescent="0.3">
      <c r="A56" s="2">
        <v>55</v>
      </c>
      <c r="B56" s="10">
        <v>43891</v>
      </c>
      <c r="C56" s="2" t="s">
        <v>75</v>
      </c>
      <c r="D56" s="2" t="s">
        <v>30</v>
      </c>
      <c r="E56" s="1">
        <v>44061</v>
      </c>
      <c r="F56" s="22">
        <f t="shared" ca="1" si="4"/>
        <v>103</v>
      </c>
      <c r="G56" s="12">
        <f t="shared" ca="1" si="5"/>
        <v>103</v>
      </c>
      <c r="H56" s="2" t="str">
        <f>INDEX('Name &amp; Email id'!C:D,MATCH(D56,'Name &amp; Email id'!C:C,0),2)</f>
        <v>johnparker@gmail.com</v>
      </c>
      <c r="I56" s="1">
        <v>44087</v>
      </c>
      <c r="J56" s="18" t="s">
        <v>189</v>
      </c>
      <c r="K56" s="19" t="str">
        <f t="shared" ca="1" si="6"/>
        <v>Completed</v>
      </c>
      <c r="L56" s="27" t="str">
        <f t="shared" ca="1" si="7"/>
        <v>No</v>
      </c>
    </row>
    <row r="57" spans="1:12" x14ac:dyDescent="0.3">
      <c r="A57" s="2">
        <v>56</v>
      </c>
      <c r="B57" s="10">
        <v>43891</v>
      </c>
      <c r="C57" s="2" t="s">
        <v>76</v>
      </c>
      <c r="D57" s="2" t="s">
        <v>14</v>
      </c>
      <c r="E57" s="1">
        <v>44089</v>
      </c>
      <c r="F57" s="22">
        <f t="shared" ca="1" si="4"/>
        <v>131</v>
      </c>
      <c r="G57" s="12">
        <f t="shared" ca="1" si="5"/>
        <v>131</v>
      </c>
      <c r="H57" s="2" t="str">
        <f>INDEX('Name &amp; Email id'!C:D,MATCH(D57,'Name &amp; Email id'!C:C,0),2)</f>
        <v>isotopian@icloud.com</v>
      </c>
      <c r="I57" s="1">
        <v>44094</v>
      </c>
      <c r="J57" s="18" t="s">
        <v>189</v>
      </c>
      <c r="K57" s="19" t="str">
        <f t="shared" ca="1" si="6"/>
        <v>Completed</v>
      </c>
      <c r="L57" s="27" t="str">
        <f t="shared" ca="1" si="7"/>
        <v>No</v>
      </c>
    </row>
    <row r="58" spans="1:12" x14ac:dyDescent="0.3">
      <c r="A58" s="2">
        <v>57</v>
      </c>
      <c r="B58" s="10">
        <v>43891</v>
      </c>
      <c r="C58" s="2" t="s">
        <v>77</v>
      </c>
      <c r="D58" s="2" t="s">
        <v>16</v>
      </c>
      <c r="E58" s="1">
        <v>44095</v>
      </c>
      <c r="F58" s="22">
        <f t="shared" ca="1" si="4"/>
        <v>137</v>
      </c>
      <c r="G58" s="12">
        <f t="shared" ca="1" si="5"/>
        <v>137</v>
      </c>
      <c r="H58" s="2" t="str">
        <f>INDEX('Name &amp; Email id'!C:D,MATCH(D58,'Name &amp; Email id'!C:C,0),2)</f>
        <v>denism@aol.com</v>
      </c>
      <c r="I58" s="1">
        <v>44114</v>
      </c>
      <c r="J58" s="18" t="s">
        <v>189</v>
      </c>
      <c r="K58" s="19" t="str">
        <f t="shared" ca="1" si="6"/>
        <v>Completed</v>
      </c>
      <c r="L58" s="27" t="str">
        <f t="shared" ca="1" si="7"/>
        <v>No</v>
      </c>
    </row>
    <row r="59" spans="1:12" x14ac:dyDescent="0.3">
      <c r="A59" s="2">
        <v>58</v>
      </c>
      <c r="B59" s="10">
        <v>43891</v>
      </c>
      <c r="C59" s="2" t="s">
        <v>78</v>
      </c>
      <c r="D59" s="2" t="s">
        <v>18</v>
      </c>
      <c r="E59" s="1">
        <v>44119</v>
      </c>
      <c r="F59" s="22">
        <f t="shared" ca="1" si="4"/>
        <v>161</v>
      </c>
      <c r="G59" s="12">
        <f t="shared" ca="1" si="5"/>
        <v>161</v>
      </c>
      <c r="H59" s="2" t="str">
        <f>INDEX('Name &amp; Email id'!C:D,MATCH(D59,'Name &amp; Email id'!C:C,0),2)</f>
        <v>bmorrow@verizon.net</v>
      </c>
      <c r="I59" s="1">
        <v>44121</v>
      </c>
      <c r="J59" s="18" t="s">
        <v>189</v>
      </c>
      <c r="K59" s="19" t="str">
        <f t="shared" ca="1" si="6"/>
        <v>Completed</v>
      </c>
      <c r="L59" s="27" t="str">
        <f t="shared" ca="1" si="7"/>
        <v>No</v>
      </c>
    </row>
    <row r="60" spans="1:12" x14ac:dyDescent="0.3">
      <c r="A60" s="2">
        <v>59</v>
      </c>
      <c r="B60" s="10">
        <v>43891</v>
      </c>
      <c r="C60" s="2" t="s">
        <v>79</v>
      </c>
      <c r="D60" s="2" t="s">
        <v>20</v>
      </c>
      <c r="E60" s="1">
        <v>44124</v>
      </c>
      <c r="F60" s="22">
        <f t="shared" ca="1" si="4"/>
        <v>166</v>
      </c>
      <c r="G60" s="12">
        <f t="shared" ca="1" si="5"/>
        <v>166</v>
      </c>
      <c r="H60" s="2" t="str">
        <f>INDEX('Name &amp; Email id'!C:D,MATCH(D60,'Name &amp; Email id'!C:C,0),2)</f>
        <v>bartlett@mac.com</v>
      </c>
      <c r="I60" s="1">
        <v>44165</v>
      </c>
      <c r="J60" s="18" t="s">
        <v>189</v>
      </c>
      <c r="K60" s="19" t="str">
        <f t="shared" ca="1" si="6"/>
        <v>Completed</v>
      </c>
      <c r="L60" s="27" t="str">
        <f t="shared" ca="1" si="7"/>
        <v>No</v>
      </c>
    </row>
    <row r="61" spans="1:12" x14ac:dyDescent="0.3">
      <c r="A61" s="2">
        <v>60</v>
      </c>
      <c r="B61" s="10">
        <v>43891</v>
      </c>
      <c r="C61" s="2" t="s">
        <v>80</v>
      </c>
      <c r="D61" s="2" t="s">
        <v>22</v>
      </c>
      <c r="E61" s="1">
        <v>44124</v>
      </c>
      <c r="F61" s="22">
        <f t="shared" ca="1" si="4"/>
        <v>166</v>
      </c>
      <c r="G61" s="12">
        <f t="shared" ca="1" si="5"/>
        <v>166</v>
      </c>
      <c r="H61" s="2" t="str">
        <f>INDEX('Name &amp; Email id'!C:D,MATCH(D61,'Name &amp; Email id'!C:C,0),2)</f>
        <v>aukjan@msn.com</v>
      </c>
      <c r="I61" s="1">
        <v>44139</v>
      </c>
      <c r="J61" s="18" t="s">
        <v>189</v>
      </c>
      <c r="K61" s="19" t="str">
        <f t="shared" ca="1" si="6"/>
        <v>Completed</v>
      </c>
      <c r="L61" s="27" t="str">
        <f t="shared" ca="1" si="7"/>
        <v>No</v>
      </c>
    </row>
    <row r="62" spans="1:12" x14ac:dyDescent="0.3">
      <c r="A62" s="2">
        <v>61</v>
      </c>
      <c r="B62" s="10">
        <v>43891</v>
      </c>
      <c r="C62" s="2" t="s">
        <v>81</v>
      </c>
      <c r="D62" s="2" t="s">
        <v>24</v>
      </c>
      <c r="E62" s="1">
        <v>44141</v>
      </c>
      <c r="F62" s="22">
        <f t="shared" ca="1" si="4"/>
        <v>183</v>
      </c>
      <c r="G62" s="12">
        <f t="shared" ca="1" si="5"/>
        <v>183</v>
      </c>
      <c r="H62" s="2" t="str">
        <f>INDEX('Name &amp; Email id'!C:D,MATCH(D62,'Name &amp; Email id'!C:C,0),2)</f>
        <v>cremonini@att.net</v>
      </c>
      <c r="I62" s="1">
        <v>44109</v>
      </c>
      <c r="J62" s="18" t="s">
        <v>189</v>
      </c>
      <c r="K62" s="19" t="str">
        <f t="shared" ca="1" si="6"/>
        <v>Completed</v>
      </c>
      <c r="L62" s="27" t="str">
        <f t="shared" ca="1" si="7"/>
        <v>Yes</v>
      </c>
    </row>
    <row r="63" spans="1:12" x14ac:dyDescent="0.3">
      <c r="A63" s="2">
        <v>62</v>
      </c>
      <c r="B63" s="10">
        <v>43891</v>
      </c>
      <c r="C63" s="2" t="s">
        <v>82</v>
      </c>
      <c r="D63" s="2" t="s">
        <v>26</v>
      </c>
      <c r="E63" s="1">
        <v>44114</v>
      </c>
      <c r="F63" s="22">
        <f t="shared" ca="1" si="4"/>
        <v>156</v>
      </c>
      <c r="G63" s="12">
        <f t="shared" ca="1" si="5"/>
        <v>156</v>
      </c>
      <c r="H63" s="2" t="str">
        <f>INDEX('Name &amp; Email id'!C:D,MATCH(D63,'Name &amp; Email id'!C:C,0),2)</f>
        <v>pereinar@yahoo.com</v>
      </c>
      <c r="I63" s="1"/>
      <c r="J63" s="18" t="s">
        <v>191</v>
      </c>
      <c r="K63" s="19" t="str">
        <f t="shared" ca="1" si="6"/>
        <v>Days left 156</v>
      </c>
      <c r="L63" s="27" t="str">
        <f t="shared" ca="1" si="7"/>
        <v/>
      </c>
    </row>
    <row r="64" spans="1:12" x14ac:dyDescent="0.3">
      <c r="A64" s="2">
        <v>63</v>
      </c>
      <c r="B64" s="10">
        <v>43891</v>
      </c>
      <c r="C64" s="2" t="s">
        <v>83</v>
      </c>
      <c r="D64" s="2" t="s">
        <v>28</v>
      </c>
      <c r="E64" s="1">
        <v>43862</v>
      </c>
      <c r="F64" s="22">
        <f t="shared" ca="1" si="4"/>
        <v>-96</v>
      </c>
      <c r="G64" s="12" t="str">
        <f t="shared" ca="1" si="5"/>
        <v/>
      </c>
      <c r="H64" s="2" t="str">
        <f>INDEX('Name &amp; Email id'!C:D,MATCH(D64,'Name &amp; Email id'!C:C,0),2)</f>
        <v>mschwartz@att.net</v>
      </c>
      <c r="I64" s="1">
        <v>44161</v>
      </c>
      <c r="J64" s="18" t="s">
        <v>189</v>
      </c>
      <c r="K64" s="19" t="str">
        <f t="shared" ca="1" si="6"/>
        <v>Completed</v>
      </c>
      <c r="L64" s="27" t="str">
        <f t="shared" ca="1" si="7"/>
        <v>No</v>
      </c>
    </row>
    <row r="65" spans="1:12" x14ac:dyDescent="0.3">
      <c r="A65" s="2">
        <v>64</v>
      </c>
      <c r="B65" s="10">
        <v>43891</v>
      </c>
      <c r="C65" s="2" t="s">
        <v>84</v>
      </c>
      <c r="D65" s="2" t="s">
        <v>30</v>
      </c>
      <c r="E65" s="1">
        <v>44165</v>
      </c>
      <c r="F65" s="22">
        <f t="shared" ca="1" si="4"/>
        <v>207</v>
      </c>
      <c r="G65" s="12">
        <f t="shared" ca="1" si="5"/>
        <v>207</v>
      </c>
      <c r="H65" s="2" t="str">
        <f>INDEX('Name &amp; Email id'!C:D,MATCH(D65,'Name &amp; Email id'!C:C,0),2)</f>
        <v>johnparker@gmail.com</v>
      </c>
      <c r="I65" s="1">
        <v>43840</v>
      </c>
      <c r="J65" s="18" t="s">
        <v>189</v>
      </c>
      <c r="K65" s="19" t="str">
        <f t="shared" ca="1" si="6"/>
        <v>Completed</v>
      </c>
      <c r="L65" s="27" t="str">
        <f t="shared" ca="1" si="7"/>
        <v>Yes</v>
      </c>
    </row>
    <row r="66" spans="1:12" x14ac:dyDescent="0.3">
      <c r="A66" s="2">
        <v>65</v>
      </c>
      <c r="B66" s="10">
        <v>43891</v>
      </c>
      <c r="C66" s="2" t="s">
        <v>85</v>
      </c>
      <c r="D66" s="2" t="s">
        <v>14</v>
      </c>
      <c r="E66" s="1">
        <v>44195</v>
      </c>
      <c r="F66" s="22">
        <f t="shared" ref="F66:F97" ca="1" si="8">$E66-TODAY()</f>
        <v>237</v>
      </c>
      <c r="G66" s="12">
        <f t="shared" ref="G66:G97" ca="1" si="9">IF(K66="Overdue",0,IF(F66&lt;0,"",F66))</f>
        <v>237</v>
      </c>
      <c r="H66" s="2" t="str">
        <f>INDEX('Name &amp; Email id'!C:D,MATCH(D66,'Name &amp; Email id'!C:C,0),2)</f>
        <v>isotopian@icloud.com</v>
      </c>
      <c r="I66" s="1">
        <v>44145</v>
      </c>
      <c r="J66" s="18" t="s">
        <v>189</v>
      </c>
      <c r="K66" s="19" t="str">
        <f t="shared" ref="K66:K97" ca="1" si="10">IF($J66="D","Completed",IF($J66="C","Closed",IF(AND($J66="W",TODAY()&lt;$E66),"Days left "&amp;E66-TODAY(),IF(AND($J66="W",TODAY()&gt;=E66),"Overdue"," "))))</f>
        <v>Completed</v>
      </c>
      <c r="L66" s="27" t="str">
        <f t="shared" ref="L66:L97" ca="1" si="11">IF(OR($K66="Completed",$K66="Closed"),IF($I66&lt;E66,"Yes","No"),"")</f>
        <v>Yes</v>
      </c>
    </row>
    <row r="67" spans="1:12" x14ac:dyDescent="0.3">
      <c r="A67" s="2">
        <v>66</v>
      </c>
      <c r="B67" s="10">
        <v>43891</v>
      </c>
      <c r="C67" s="2" t="s">
        <v>86</v>
      </c>
      <c r="D67" s="2" t="s">
        <v>16</v>
      </c>
      <c r="E67" s="1">
        <v>44196</v>
      </c>
      <c r="F67" s="22">
        <f t="shared" ca="1" si="8"/>
        <v>238</v>
      </c>
      <c r="G67" s="12">
        <f t="shared" ca="1" si="9"/>
        <v>238</v>
      </c>
      <c r="H67" s="2" t="str">
        <f>INDEX('Name &amp; Email id'!C:D,MATCH(D67,'Name &amp; Email id'!C:C,0),2)</f>
        <v>denism@aol.com</v>
      </c>
      <c r="I67" s="1">
        <v>44109</v>
      </c>
      <c r="J67" s="18" t="s">
        <v>189</v>
      </c>
      <c r="K67" s="19" t="str">
        <f t="shared" ca="1" si="10"/>
        <v>Completed</v>
      </c>
      <c r="L67" s="27" t="str">
        <f t="shared" ca="1" si="11"/>
        <v>Yes</v>
      </c>
    </row>
    <row r="68" spans="1:12" x14ac:dyDescent="0.3">
      <c r="A68" s="2">
        <v>67</v>
      </c>
      <c r="B68" s="10">
        <v>43891</v>
      </c>
      <c r="C68" s="2" t="s">
        <v>87</v>
      </c>
      <c r="D68" s="2" t="s">
        <v>18</v>
      </c>
      <c r="E68" s="1">
        <v>44114</v>
      </c>
      <c r="F68" s="22">
        <f t="shared" ca="1" si="8"/>
        <v>156</v>
      </c>
      <c r="G68" s="12">
        <f t="shared" ca="1" si="9"/>
        <v>156</v>
      </c>
      <c r="H68" s="2" t="str">
        <f>INDEX('Name &amp; Email id'!C:D,MATCH(D68,'Name &amp; Email id'!C:C,0),2)</f>
        <v>bmorrow@verizon.net</v>
      </c>
      <c r="I68" s="1">
        <v>44119</v>
      </c>
      <c r="J68" s="18" t="s">
        <v>189</v>
      </c>
      <c r="K68" s="19" t="str">
        <f t="shared" ca="1" si="10"/>
        <v>Completed</v>
      </c>
      <c r="L68" s="27" t="str">
        <f t="shared" ca="1" si="11"/>
        <v>No</v>
      </c>
    </row>
    <row r="69" spans="1:12" x14ac:dyDescent="0.3">
      <c r="A69" s="2">
        <v>68</v>
      </c>
      <c r="B69" s="10">
        <v>43891</v>
      </c>
      <c r="C69" s="2" t="s">
        <v>88</v>
      </c>
      <c r="D69" s="2" t="s">
        <v>20</v>
      </c>
      <c r="E69" s="1">
        <v>44129</v>
      </c>
      <c r="F69" s="22">
        <f t="shared" ca="1" si="8"/>
        <v>171</v>
      </c>
      <c r="G69" s="12">
        <f t="shared" ca="1" si="9"/>
        <v>171</v>
      </c>
      <c r="H69" s="2" t="str">
        <f>INDEX('Name &amp; Email id'!C:D,MATCH(D69,'Name &amp; Email id'!C:C,0),2)</f>
        <v>bartlett@mac.com</v>
      </c>
      <c r="I69" s="1">
        <v>44107</v>
      </c>
      <c r="J69" s="18" t="s">
        <v>189</v>
      </c>
      <c r="K69" s="19" t="str">
        <f t="shared" ca="1" si="10"/>
        <v>Completed</v>
      </c>
      <c r="L69" s="27" t="str">
        <f t="shared" ca="1" si="11"/>
        <v>Yes</v>
      </c>
    </row>
    <row r="70" spans="1:12" x14ac:dyDescent="0.3">
      <c r="A70" s="2">
        <v>69</v>
      </c>
      <c r="B70" s="10">
        <v>43891</v>
      </c>
      <c r="C70" s="2" t="s">
        <v>89</v>
      </c>
      <c r="D70" s="2" t="s">
        <v>22</v>
      </c>
      <c r="E70" s="1">
        <v>44109</v>
      </c>
      <c r="F70" s="22">
        <f t="shared" ca="1" si="8"/>
        <v>151</v>
      </c>
      <c r="G70" s="12">
        <f t="shared" ca="1" si="9"/>
        <v>151</v>
      </c>
      <c r="H70" s="2" t="str">
        <f>INDEX('Name &amp; Email id'!C:D,MATCH(D70,'Name &amp; Email id'!C:C,0),2)</f>
        <v>aukjan@msn.com</v>
      </c>
      <c r="I70" s="1">
        <v>44161</v>
      </c>
      <c r="J70" s="18" t="s">
        <v>189</v>
      </c>
      <c r="K70" s="19" t="str">
        <f t="shared" ca="1" si="10"/>
        <v>Completed</v>
      </c>
      <c r="L70" s="27" t="str">
        <f t="shared" ca="1" si="11"/>
        <v>No</v>
      </c>
    </row>
    <row r="71" spans="1:12" x14ac:dyDescent="0.3">
      <c r="A71" s="2">
        <v>70</v>
      </c>
      <c r="B71" s="10">
        <v>43891</v>
      </c>
      <c r="C71" s="2" t="s">
        <v>90</v>
      </c>
      <c r="D71" s="2" t="s">
        <v>24</v>
      </c>
      <c r="E71" s="1">
        <v>44155</v>
      </c>
      <c r="F71" s="22">
        <f t="shared" ca="1" si="8"/>
        <v>197</v>
      </c>
      <c r="G71" s="12">
        <f t="shared" ca="1" si="9"/>
        <v>197</v>
      </c>
      <c r="H71" s="2" t="str">
        <f>INDEX('Name &amp; Email id'!C:D,MATCH(D71,'Name &amp; Email id'!C:C,0),2)</f>
        <v>cremonini@att.net</v>
      </c>
      <c r="I71" s="1">
        <v>44129</v>
      </c>
      <c r="J71" s="18" t="s">
        <v>189</v>
      </c>
      <c r="K71" s="19" t="str">
        <f t="shared" ca="1" si="10"/>
        <v>Completed</v>
      </c>
      <c r="L71" s="27" t="str">
        <f t="shared" ca="1" si="11"/>
        <v>Yes</v>
      </c>
    </row>
    <row r="72" spans="1:12" x14ac:dyDescent="0.3">
      <c r="A72" s="2">
        <v>71</v>
      </c>
      <c r="B72" s="10">
        <v>43891</v>
      </c>
      <c r="C72" s="2" t="s">
        <v>91</v>
      </c>
      <c r="D72" s="2" t="s">
        <v>26</v>
      </c>
      <c r="E72" s="1">
        <v>44136</v>
      </c>
      <c r="F72" s="22">
        <f t="shared" ca="1" si="8"/>
        <v>178</v>
      </c>
      <c r="G72" s="12">
        <f t="shared" ca="1" si="9"/>
        <v>178</v>
      </c>
      <c r="H72" s="2" t="str">
        <f>INDEX('Name &amp; Email id'!C:D,MATCH(D72,'Name &amp; Email id'!C:C,0),2)</f>
        <v>pereinar@yahoo.com</v>
      </c>
      <c r="I72" s="1">
        <v>44114</v>
      </c>
      <c r="J72" s="18" t="s">
        <v>189</v>
      </c>
      <c r="K72" s="19" t="str">
        <f t="shared" ca="1" si="10"/>
        <v>Completed</v>
      </c>
      <c r="L72" s="27" t="str">
        <f t="shared" ca="1" si="11"/>
        <v>Yes</v>
      </c>
    </row>
    <row r="73" spans="1:12" x14ac:dyDescent="0.3">
      <c r="A73" s="2">
        <v>72</v>
      </c>
      <c r="B73" s="10">
        <v>43891</v>
      </c>
      <c r="C73" s="2" t="s">
        <v>92</v>
      </c>
      <c r="D73" s="2" t="s">
        <v>28</v>
      </c>
      <c r="E73" s="1">
        <v>44136</v>
      </c>
      <c r="F73" s="22">
        <f t="shared" ca="1" si="8"/>
        <v>178</v>
      </c>
      <c r="G73" s="12">
        <f t="shared" ca="1" si="9"/>
        <v>178</v>
      </c>
      <c r="H73" s="2" t="str">
        <f>INDEX('Name &amp; Email id'!C:D,MATCH(D73,'Name &amp; Email id'!C:C,0),2)</f>
        <v>mschwartz@att.net</v>
      </c>
      <c r="I73" s="1">
        <v>44124</v>
      </c>
      <c r="J73" s="18" t="s">
        <v>189</v>
      </c>
      <c r="K73" s="19" t="str">
        <f t="shared" ca="1" si="10"/>
        <v>Completed</v>
      </c>
      <c r="L73" s="27" t="str">
        <f t="shared" ca="1" si="11"/>
        <v>Yes</v>
      </c>
    </row>
    <row r="74" spans="1:12" x14ac:dyDescent="0.3">
      <c r="A74" s="2">
        <v>73</v>
      </c>
      <c r="B74" s="10">
        <v>43891</v>
      </c>
      <c r="C74" s="2" t="s">
        <v>93</v>
      </c>
      <c r="D74" s="2" t="s">
        <v>30</v>
      </c>
      <c r="E74" s="1">
        <v>44134</v>
      </c>
      <c r="F74" s="22">
        <f t="shared" ca="1" si="8"/>
        <v>176</v>
      </c>
      <c r="G74" s="12">
        <f t="shared" ca="1" si="9"/>
        <v>176</v>
      </c>
      <c r="H74" s="2" t="str">
        <f>INDEX('Name &amp; Email id'!C:D,MATCH(D74,'Name &amp; Email id'!C:C,0),2)</f>
        <v>johnparker@gmail.com</v>
      </c>
      <c r="I74" s="1">
        <v>44155</v>
      </c>
      <c r="J74" s="18" t="s">
        <v>189</v>
      </c>
      <c r="K74" s="19" t="str">
        <f t="shared" ca="1" si="10"/>
        <v>Completed</v>
      </c>
      <c r="L74" s="27" t="str">
        <f t="shared" ca="1" si="11"/>
        <v>No</v>
      </c>
    </row>
    <row r="75" spans="1:12" x14ac:dyDescent="0.3">
      <c r="A75" s="2">
        <v>74</v>
      </c>
      <c r="B75" s="10">
        <v>43891</v>
      </c>
      <c r="C75" s="2" t="s">
        <v>94</v>
      </c>
      <c r="D75" s="2" t="s">
        <v>14</v>
      </c>
      <c r="E75" s="1">
        <v>44150</v>
      </c>
      <c r="F75" s="22">
        <f t="shared" ca="1" si="8"/>
        <v>192</v>
      </c>
      <c r="G75" s="12">
        <f t="shared" ca="1" si="9"/>
        <v>192</v>
      </c>
      <c r="H75" s="2" t="str">
        <f>INDEX('Name &amp; Email id'!C:D,MATCH(D75,'Name &amp; Email id'!C:C,0),2)</f>
        <v>isotopian@icloud.com</v>
      </c>
      <c r="I75" s="1">
        <v>44127</v>
      </c>
      <c r="J75" s="18" t="s">
        <v>189</v>
      </c>
      <c r="K75" s="19" t="str">
        <f t="shared" ca="1" si="10"/>
        <v>Completed</v>
      </c>
      <c r="L75" s="27" t="str">
        <f t="shared" ca="1" si="11"/>
        <v>Yes</v>
      </c>
    </row>
    <row r="76" spans="1:12" x14ac:dyDescent="0.3">
      <c r="A76" s="2">
        <v>75</v>
      </c>
      <c r="B76" s="10">
        <v>43891</v>
      </c>
      <c r="C76" s="2" t="s">
        <v>95</v>
      </c>
      <c r="D76" s="2" t="s">
        <v>16</v>
      </c>
      <c r="E76" s="1">
        <v>44129</v>
      </c>
      <c r="F76" s="22">
        <f t="shared" ca="1" si="8"/>
        <v>171</v>
      </c>
      <c r="G76" s="12">
        <f t="shared" ca="1" si="9"/>
        <v>171</v>
      </c>
      <c r="H76" s="2" t="str">
        <f>INDEX('Name &amp; Email id'!C:D,MATCH(D76,'Name &amp; Email id'!C:C,0),2)</f>
        <v>denism@aol.com</v>
      </c>
      <c r="I76" s="1">
        <v>44172</v>
      </c>
      <c r="J76" s="18" t="s">
        <v>189</v>
      </c>
      <c r="K76" s="19" t="str">
        <f t="shared" ca="1" si="10"/>
        <v>Completed</v>
      </c>
      <c r="L76" s="27" t="str">
        <f t="shared" ca="1" si="11"/>
        <v>No</v>
      </c>
    </row>
    <row r="77" spans="1:12" x14ac:dyDescent="0.3">
      <c r="A77" s="2">
        <v>76</v>
      </c>
      <c r="B77" s="10">
        <v>43891</v>
      </c>
      <c r="C77" s="2" t="s">
        <v>96</v>
      </c>
      <c r="D77" s="2" t="s">
        <v>18</v>
      </c>
      <c r="E77" s="1">
        <v>44165</v>
      </c>
      <c r="F77" s="22">
        <f t="shared" ca="1" si="8"/>
        <v>207</v>
      </c>
      <c r="G77" s="12">
        <f t="shared" ca="1" si="9"/>
        <v>207</v>
      </c>
      <c r="H77" s="2" t="str">
        <f>INDEX('Name &amp; Email id'!C:D,MATCH(D77,'Name &amp; Email id'!C:C,0),2)</f>
        <v>bmorrow@verizon.net</v>
      </c>
      <c r="I77" s="1">
        <v>44172</v>
      </c>
      <c r="J77" s="18" t="s">
        <v>189</v>
      </c>
      <c r="K77" s="19" t="str">
        <f t="shared" ca="1" si="10"/>
        <v>Completed</v>
      </c>
      <c r="L77" s="27" t="str">
        <f t="shared" ca="1" si="11"/>
        <v>No</v>
      </c>
    </row>
    <row r="78" spans="1:12" x14ac:dyDescent="0.3">
      <c r="A78" s="2">
        <v>77</v>
      </c>
      <c r="B78" s="10">
        <v>43891</v>
      </c>
      <c r="C78" s="2" t="s">
        <v>97</v>
      </c>
      <c r="D78" s="2" t="s">
        <v>20</v>
      </c>
      <c r="E78" s="1">
        <v>44165</v>
      </c>
      <c r="F78" s="22">
        <f t="shared" ca="1" si="8"/>
        <v>207</v>
      </c>
      <c r="G78" s="12">
        <f t="shared" ca="1" si="9"/>
        <v>207</v>
      </c>
      <c r="H78" s="2" t="str">
        <f>INDEX('Name &amp; Email id'!C:D,MATCH(D78,'Name &amp; Email id'!C:C,0),2)</f>
        <v>bartlett@mac.com</v>
      </c>
      <c r="I78" s="1">
        <v>44114</v>
      </c>
      <c r="J78" s="18" t="s">
        <v>189</v>
      </c>
      <c r="K78" s="19" t="str">
        <f t="shared" ca="1" si="10"/>
        <v>Completed</v>
      </c>
      <c r="L78" s="27" t="str">
        <f t="shared" ca="1" si="11"/>
        <v>Yes</v>
      </c>
    </row>
    <row r="79" spans="1:12" x14ac:dyDescent="0.3">
      <c r="A79" s="2">
        <v>78</v>
      </c>
      <c r="B79" s="10">
        <v>43891</v>
      </c>
      <c r="C79" s="2" t="s">
        <v>98</v>
      </c>
      <c r="D79" s="2" t="s">
        <v>22</v>
      </c>
      <c r="E79" s="1">
        <v>44119</v>
      </c>
      <c r="F79" s="22">
        <f t="shared" ca="1" si="8"/>
        <v>161</v>
      </c>
      <c r="G79" s="12">
        <f t="shared" ca="1" si="9"/>
        <v>161</v>
      </c>
      <c r="H79" s="2" t="str">
        <f>INDEX('Name &amp; Email id'!C:D,MATCH(D79,'Name &amp; Email id'!C:C,0),2)</f>
        <v>aukjan@msn.com</v>
      </c>
      <c r="I79" s="1">
        <v>44107</v>
      </c>
      <c r="J79" s="18" t="s">
        <v>189</v>
      </c>
      <c r="K79" s="19" t="str">
        <f t="shared" ca="1" si="10"/>
        <v>Completed</v>
      </c>
      <c r="L79" s="27" t="str">
        <f t="shared" ca="1" si="11"/>
        <v>Yes</v>
      </c>
    </row>
    <row r="80" spans="1:12" x14ac:dyDescent="0.3">
      <c r="A80" s="2">
        <v>79</v>
      </c>
      <c r="B80" s="10">
        <v>43891</v>
      </c>
      <c r="C80" s="2" t="s">
        <v>99</v>
      </c>
      <c r="D80" s="2" t="s">
        <v>24</v>
      </c>
      <c r="E80" s="1">
        <v>44109</v>
      </c>
      <c r="F80" s="22">
        <f t="shared" ca="1" si="8"/>
        <v>151</v>
      </c>
      <c r="G80" s="12">
        <f t="shared" ca="1" si="9"/>
        <v>151</v>
      </c>
      <c r="H80" s="2" t="str">
        <f>INDEX('Name &amp; Email id'!C:D,MATCH(D80,'Name &amp; Email id'!C:C,0),2)</f>
        <v>cremonini@att.net</v>
      </c>
      <c r="I80" s="1">
        <v>43840</v>
      </c>
      <c r="J80" s="18" t="s">
        <v>189</v>
      </c>
      <c r="K80" s="19" t="str">
        <f t="shared" ca="1" si="10"/>
        <v>Completed</v>
      </c>
      <c r="L80" s="27" t="str">
        <f t="shared" ca="1" si="11"/>
        <v>Yes</v>
      </c>
    </row>
    <row r="81" spans="1:12" x14ac:dyDescent="0.3">
      <c r="A81" s="2">
        <v>80</v>
      </c>
      <c r="B81" s="10">
        <v>43891</v>
      </c>
      <c r="C81" s="2" t="s">
        <v>100</v>
      </c>
      <c r="D81" s="2" t="s">
        <v>26</v>
      </c>
      <c r="E81" s="1">
        <v>44165</v>
      </c>
      <c r="F81" s="22">
        <f t="shared" ca="1" si="8"/>
        <v>207</v>
      </c>
      <c r="G81" s="12">
        <f t="shared" ca="1" si="9"/>
        <v>207</v>
      </c>
      <c r="H81" s="2" t="str">
        <f>INDEX('Name &amp; Email id'!C:D,MATCH(D81,'Name &amp; Email id'!C:C,0),2)</f>
        <v>pereinar@yahoo.com</v>
      </c>
      <c r="I81" s="1"/>
      <c r="J81" s="18" t="s">
        <v>191</v>
      </c>
      <c r="K81" s="19" t="str">
        <f t="shared" ca="1" si="10"/>
        <v>Days left 207</v>
      </c>
      <c r="L81" s="27" t="str">
        <f t="shared" ca="1" si="11"/>
        <v/>
      </c>
    </row>
    <row r="82" spans="1:12" x14ac:dyDescent="0.3">
      <c r="A82" s="2">
        <v>81</v>
      </c>
      <c r="B82" s="10">
        <v>43891</v>
      </c>
      <c r="C82" s="2" t="s">
        <v>101</v>
      </c>
      <c r="D82" s="2" t="s">
        <v>28</v>
      </c>
      <c r="E82" s="1">
        <v>44165</v>
      </c>
      <c r="F82" s="22">
        <f t="shared" ca="1" si="8"/>
        <v>207</v>
      </c>
      <c r="G82" s="12">
        <f t="shared" ca="1" si="9"/>
        <v>207</v>
      </c>
      <c r="H82" s="2" t="str">
        <f>INDEX('Name &amp; Email id'!C:D,MATCH(D82,'Name &amp; Email id'!C:C,0),2)</f>
        <v>mschwartz@att.net</v>
      </c>
      <c r="I82" s="1">
        <v>43840</v>
      </c>
      <c r="J82" s="18" t="s">
        <v>189</v>
      </c>
      <c r="K82" s="19" t="str">
        <f t="shared" ca="1" si="10"/>
        <v>Completed</v>
      </c>
      <c r="L82" s="27" t="str">
        <f t="shared" ca="1" si="11"/>
        <v>Yes</v>
      </c>
    </row>
    <row r="83" spans="1:12" x14ac:dyDescent="0.3">
      <c r="A83" s="2">
        <v>82</v>
      </c>
      <c r="B83" s="10">
        <v>43891</v>
      </c>
      <c r="C83" s="2" t="s">
        <v>102</v>
      </c>
      <c r="D83" s="2" t="s">
        <v>30</v>
      </c>
      <c r="E83" s="1">
        <v>44165</v>
      </c>
      <c r="F83" s="22">
        <f t="shared" ca="1" si="8"/>
        <v>207</v>
      </c>
      <c r="G83" s="12">
        <f t="shared" ca="1" si="9"/>
        <v>207</v>
      </c>
      <c r="H83" s="2" t="str">
        <f>INDEX('Name &amp; Email id'!C:D,MATCH(D83,'Name &amp; Email id'!C:C,0),2)</f>
        <v>johnparker@gmail.com</v>
      </c>
      <c r="I83" s="1">
        <v>44102</v>
      </c>
      <c r="J83" s="18" t="s">
        <v>189</v>
      </c>
      <c r="K83" s="19" t="str">
        <f t="shared" ca="1" si="10"/>
        <v>Completed</v>
      </c>
      <c r="L83" s="27" t="str">
        <f t="shared" ca="1" si="11"/>
        <v>Yes</v>
      </c>
    </row>
    <row r="84" spans="1:12" x14ac:dyDescent="0.3">
      <c r="A84" s="2">
        <v>83</v>
      </c>
      <c r="B84" s="10">
        <v>43891</v>
      </c>
      <c r="C84" s="2" t="s">
        <v>103</v>
      </c>
      <c r="D84" s="2" t="s">
        <v>14</v>
      </c>
      <c r="E84" s="1">
        <v>44104</v>
      </c>
      <c r="F84" s="22">
        <f t="shared" ca="1" si="8"/>
        <v>146</v>
      </c>
      <c r="G84" s="12">
        <f t="shared" ca="1" si="9"/>
        <v>146</v>
      </c>
      <c r="H84" s="2" t="str">
        <f>INDEX('Name &amp; Email id'!C:D,MATCH(D84,'Name &amp; Email id'!C:C,0),2)</f>
        <v>isotopian@icloud.com</v>
      </c>
      <c r="I84" s="1"/>
      <c r="J84" s="18" t="s">
        <v>191</v>
      </c>
      <c r="K84" s="19" t="str">
        <f t="shared" ca="1" si="10"/>
        <v>Days left 146</v>
      </c>
      <c r="L84" s="27" t="str">
        <f t="shared" ca="1" si="11"/>
        <v/>
      </c>
    </row>
    <row r="85" spans="1:12" x14ac:dyDescent="0.3">
      <c r="A85" s="2">
        <v>84</v>
      </c>
      <c r="B85" s="10">
        <v>43891</v>
      </c>
      <c r="C85" s="2" t="s">
        <v>104</v>
      </c>
      <c r="D85" s="2" t="s">
        <v>16</v>
      </c>
      <c r="E85" s="1">
        <v>43921</v>
      </c>
      <c r="F85" s="22">
        <f t="shared" ca="1" si="8"/>
        <v>-37</v>
      </c>
      <c r="G85" s="12" t="str">
        <f t="shared" ca="1" si="9"/>
        <v/>
      </c>
      <c r="H85" s="2" t="str">
        <f>INDEX('Name &amp; Email id'!C:D,MATCH(D85,'Name &amp; Email id'!C:C,0),2)</f>
        <v>denism@aol.com</v>
      </c>
      <c r="I85" s="1">
        <v>44119</v>
      </c>
      <c r="J85" s="18" t="s">
        <v>189</v>
      </c>
      <c r="K85" s="19" t="str">
        <f t="shared" ca="1" si="10"/>
        <v>Completed</v>
      </c>
      <c r="L85" s="27" t="str">
        <f t="shared" ca="1" si="11"/>
        <v>No</v>
      </c>
    </row>
    <row r="86" spans="1:12" x14ac:dyDescent="0.3">
      <c r="A86" s="2">
        <v>85</v>
      </c>
      <c r="B86" s="10">
        <v>43891</v>
      </c>
      <c r="C86" s="2" t="s">
        <v>105</v>
      </c>
      <c r="D86" s="2" t="s">
        <v>18</v>
      </c>
      <c r="E86" s="1">
        <v>44124</v>
      </c>
      <c r="F86" s="22">
        <f t="shared" ca="1" si="8"/>
        <v>166</v>
      </c>
      <c r="G86" s="12">
        <f t="shared" ca="1" si="9"/>
        <v>166</v>
      </c>
      <c r="H86" s="2" t="str">
        <f>INDEX('Name &amp; Email id'!C:D,MATCH(D86,'Name &amp; Email id'!C:C,0),2)</f>
        <v>bmorrow@verizon.net</v>
      </c>
      <c r="I86" s="1">
        <v>44166</v>
      </c>
      <c r="J86" s="18" t="s">
        <v>189</v>
      </c>
      <c r="K86" s="19" t="str">
        <f t="shared" ca="1" si="10"/>
        <v>Completed</v>
      </c>
      <c r="L86" s="27" t="str">
        <f t="shared" ca="1" si="11"/>
        <v>No</v>
      </c>
    </row>
    <row r="87" spans="1:12" x14ac:dyDescent="0.3">
      <c r="A87" s="2">
        <v>86</v>
      </c>
      <c r="B87" s="10">
        <v>43891</v>
      </c>
      <c r="C87" s="2" t="s">
        <v>106</v>
      </c>
      <c r="D87" s="2" t="s">
        <v>20</v>
      </c>
      <c r="E87" s="1">
        <v>44150</v>
      </c>
      <c r="F87" s="22">
        <f t="shared" ca="1" si="8"/>
        <v>192</v>
      </c>
      <c r="G87" s="12">
        <f t="shared" ca="1" si="9"/>
        <v>192</v>
      </c>
      <c r="H87" s="2" t="str">
        <f>INDEX('Name &amp; Email id'!C:D,MATCH(D87,'Name &amp; Email id'!C:C,0),2)</f>
        <v>bartlett@mac.com</v>
      </c>
      <c r="I87" s="1">
        <v>44124</v>
      </c>
      <c r="J87" s="18" t="s">
        <v>189</v>
      </c>
      <c r="K87" s="19" t="str">
        <f t="shared" ca="1" si="10"/>
        <v>Completed</v>
      </c>
      <c r="L87" s="27" t="str">
        <f t="shared" ca="1" si="11"/>
        <v>Yes</v>
      </c>
    </row>
    <row r="88" spans="1:12" x14ac:dyDescent="0.3">
      <c r="A88" s="2">
        <v>87</v>
      </c>
      <c r="B88" s="10">
        <v>43891</v>
      </c>
      <c r="C88" s="2" t="s">
        <v>107</v>
      </c>
      <c r="D88" s="2" t="s">
        <v>22</v>
      </c>
      <c r="E88" s="1">
        <v>44129</v>
      </c>
      <c r="F88" s="22">
        <f t="shared" ca="1" si="8"/>
        <v>171</v>
      </c>
      <c r="G88" s="12">
        <f t="shared" ca="1" si="9"/>
        <v>171</v>
      </c>
      <c r="H88" s="2" t="str">
        <f>INDEX('Name &amp; Email id'!C:D,MATCH(D88,'Name &amp; Email id'!C:C,0),2)</f>
        <v>aukjan@msn.com</v>
      </c>
      <c r="I88" s="1"/>
      <c r="J88" s="18" t="s">
        <v>191</v>
      </c>
      <c r="K88" s="19" t="str">
        <f t="shared" ca="1" si="10"/>
        <v>Days left 171</v>
      </c>
      <c r="L88" s="27" t="str">
        <f t="shared" ca="1" si="11"/>
        <v/>
      </c>
    </row>
    <row r="89" spans="1:12" x14ac:dyDescent="0.3">
      <c r="A89" s="2">
        <v>88</v>
      </c>
      <c r="B89" s="10">
        <v>43891</v>
      </c>
      <c r="C89" s="2" t="s">
        <v>108</v>
      </c>
      <c r="D89" s="2" t="s">
        <v>24</v>
      </c>
      <c r="E89" s="1">
        <v>44155</v>
      </c>
      <c r="F89" s="22">
        <f t="shared" ca="1" si="8"/>
        <v>197</v>
      </c>
      <c r="G89" s="12">
        <f t="shared" ca="1" si="9"/>
        <v>197</v>
      </c>
      <c r="H89" s="2" t="str">
        <f>INDEX('Name &amp; Email id'!C:D,MATCH(D89,'Name &amp; Email id'!C:C,0),2)</f>
        <v>cremonini@att.net</v>
      </c>
      <c r="I89" s="1"/>
      <c r="J89" s="18" t="s">
        <v>191</v>
      </c>
      <c r="K89" s="19" t="str">
        <f t="shared" ca="1" si="10"/>
        <v>Days left 197</v>
      </c>
      <c r="L89" s="27" t="str">
        <f t="shared" ca="1" si="11"/>
        <v/>
      </c>
    </row>
    <row r="90" spans="1:12" x14ac:dyDescent="0.3">
      <c r="A90" s="2">
        <v>89</v>
      </c>
      <c r="B90" s="10">
        <v>43891</v>
      </c>
      <c r="C90" s="2" t="s">
        <v>109</v>
      </c>
      <c r="D90" s="2" t="s">
        <v>26</v>
      </c>
      <c r="E90" s="1">
        <v>44165</v>
      </c>
      <c r="F90" s="22">
        <f t="shared" ca="1" si="8"/>
        <v>207</v>
      </c>
      <c r="G90" s="12">
        <f t="shared" ca="1" si="9"/>
        <v>207</v>
      </c>
      <c r="H90" s="2" t="str">
        <f>INDEX('Name &amp; Email id'!C:D,MATCH(D90,'Name &amp; Email id'!C:C,0),2)</f>
        <v>pereinar@yahoo.com</v>
      </c>
      <c r="I90" s="26"/>
      <c r="J90" s="18" t="s">
        <v>191</v>
      </c>
      <c r="K90" s="19" t="str">
        <f t="shared" ca="1" si="10"/>
        <v>Days left 207</v>
      </c>
      <c r="L90" s="27" t="str">
        <f t="shared" ca="1" si="11"/>
        <v/>
      </c>
    </row>
    <row r="91" spans="1:12" x14ac:dyDescent="0.3">
      <c r="A91" s="2">
        <v>90</v>
      </c>
      <c r="B91" s="10">
        <v>43891</v>
      </c>
      <c r="C91" s="2" t="s">
        <v>110</v>
      </c>
      <c r="D91" s="2" t="s">
        <v>28</v>
      </c>
      <c r="E91" s="1">
        <v>44165</v>
      </c>
      <c r="F91" s="22">
        <f t="shared" ca="1" si="8"/>
        <v>207</v>
      </c>
      <c r="G91" s="12">
        <f t="shared" ca="1" si="9"/>
        <v>207</v>
      </c>
      <c r="H91" s="2" t="str">
        <f>INDEX('Name &amp; Email id'!C:D,MATCH(D91,'Name &amp; Email id'!C:C,0),2)</f>
        <v>mschwartz@att.net</v>
      </c>
      <c r="I91" s="1">
        <v>44160</v>
      </c>
      <c r="J91" s="18" t="s">
        <v>189</v>
      </c>
      <c r="K91" s="19" t="str">
        <f t="shared" ca="1" si="10"/>
        <v>Completed</v>
      </c>
      <c r="L91" s="27" t="str">
        <f t="shared" ca="1" si="11"/>
        <v>Yes</v>
      </c>
    </row>
    <row r="92" spans="1:12" x14ac:dyDescent="0.3">
      <c r="A92" s="2">
        <v>91</v>
      </c>
      <c r="B92" s="10">
        <v>43891</v>
      </c>
      <c r="C92" s="2" t="s">
        <v>111</v>
      </c>
      <c r="D92" s="2" t="s">
        <v>30</v>
      </c>
      <c r="E92" s="1">
        <v>44134</v>
      </c>
      <c r="F92" s="22">
        <f t="shared" ca="1" si="8"/>
        <v>176</v>
      </c>
      <c r="G92" s="12">
        <f t="shared" ca="1" si="9"/>
        <v>176</v>
      </c>
      <c r="H92" s="2" t="str">
        <f>INDEX('Name &amp; Email id'!C:D,MATCH(D92,'Name &amp; Email id'!C:C,0),2)</f>
        <v>johnparker@gmail.com</v>
      </c>
      <c r="I92" s="1">
        <v>44160</v>
      </c>
      <c r="J92" s="18" t="s">
        <v>193</v>
      </c>
      <c r="K92" s="19" t="str">
        <f t="shared" ca="1" si="10"/>
        <v>Closed</v>
      </c>
      <c r="L92" s="27" t="str">
        <f t="shared" ca="1" si="11"/>
        <v>No</v>
      </c>
    </row>
    <row r="93" spans="1:12" x14ac:dyDescent="0.3">
      <c r="A93" s="2">
        <v>92</v>
      </c>
      <c r="B93" s="10">
        <v>43891</v>
      </c>
      <c r="C93" s="2" t="s">
        <v>112</v>
      </c>
      <c r="D93" s="2" t="s">
        <v>14</v>
      </c>
      <c r="E93" s="1">
        <v>44165</v>
      </c>
      <c r="F93" s="22">
        <f t="shared" ca="1" si="8"/>
        <v>207</v>
      </c>
      <c r="G93" s="12">
        <f t="shared" ca="1" si="9"/>
        <v>207</v>
      </c>
      <c r="H93" s="2" t="str">
        <f>INDEX('Name &amp; Email id'!C:D,MATCH(D93,'Name &amp; Email id'!C:C,0),2)</f>
        <v>isotopian@icloud.com</v>
      </c>
      <c r="I93" s="1">
        <v>44163</v>
      </c>
      <c r="J93" s="18" t="s">
        <v>189</v>
      </c>
      <c r="K93" s="19" t="str">
        <f t="shared" ca="1" si="10"/>
        <v>Completed</v>
      </c>
      <c r="L93" s="27" t="str">
        <f t="shared" ca="1" si="11"/>
        <v>Yes</v>
      </c>
    </row>
    <row r="94" spans="1:12" x14ac:dyDescent="0.3">
      <c r="A94" s="2">
        <v>93</v>
      </c>
      <c r="B94" s="10">
        <v>43891</v>
      </c>
      <c r="C94" s="2" t="s">
        <v>113</v>
      </c>
      <c r="D94" s="2" t="s">
        <v>16</v>
      </c>
      <c r="E94" s="1">
        <v>44134</v>
      </c>
      <c r="F94" s="22">
        <f t="shared" ca="1" si="8"/>
        <v>176</v>
      </c>
      <c r="G94" s="12">
        <f t="shared" ca="1" si="9"/>
        <v>176</v>
      </c>
      <c r="H94" s="2" t="str">
        <f>INDEX('Name &amp; Email id'!C:D,MATCH(D94,'Name &amp; Email id'!C:C,0),2)</f>
        <v>denism@aol.com</v>
      </c>
      <c r="I94" s="1">
        <v>44179</v>
      </c>
      <c r="J94" s="18" t="s">
        <v>189</v>
      </c>
      <c r="K94" s="19" t="str">
        <f t="shared" ca="1" si="10"/>
        <v>Completed</v>
      </c>
      <c r="L94" s="27" t="str">
        <f t="shared" ca="1" si="11"/>
        <v>No</v>
      </c>
    </row>
    <row r="95" spans="1:12" x14ac:dyDescent="0.3">
      <c r="A95" s="2">
        <v>94</v>
      </c>
      <c r="B95" s="10">
        <v>43891</v>
      </c>
      <c r="C95" s="2" t="s">
        <v>114</v>
      </c>
      <c r="D95" s="2" t="s">
        <v>18</v>
      </c>
      <c r="E95" s="1">
        <v>44155</v>
      </c>
      <c r="F95" s="22">
        <f t="shared" ca="1" si="8"/>
        <v>197</v>
      </c>
      <c r="G95" s="12">
        <f t="shared" ca="1" si="9"/>
        <v>197</v>
      </c>
      <c r="H95" s="2" t="str">
        <f>INDEX('Name &amp; Email id'!C:D,MATCH(D95,'Name &amp; Email id'!C:C,0),2)</f>
        <v>bmorrow@verizon.net</v>
      </c>
      <c r="I95" s="1">
        <v>44134</v>
      </c>
      <c r="J95" s="18" t="s">
        <v>189</v>
      </c>
      <c r="K95" s="19" t="str">
        <f t="shared" ca="1" si="10"/>
        <v>Completed</v>
      </c>
      <c r="L95" s="27" t="str">
        <f t="shared" ca="1" si="11"/>
        <v>Yes</v>
      </c>
    </row>
    <row r="96" spans="1:12" x14ac:dyDescent="0.3">
      <c r="A96" s="2">
        <v>95</v>
      </c>
      <c r="B96" s="10">
        <v>43891</v>
      </c>
      <c r="C96" s="2" t="s">
        <v>115</v>
      </c>
      <c r="D96" s="2" t="s">
        <v>20</v>
      </c>
      <c r="E96" s="1">
        <v>44150</v>
      </c>
      <c r="F96" s="22">
        <f t="shared" ca="1" si="8"/>
        <v>192</v>
      </c>
      <c r="G96" s="12">
        <f t="shared" ca="1" si="9"/>
        <v>192</v>
      </c>
      <c r="H96" s="2" t="str">
        <f>INDEX('Name &amp; Email id'!C:D,MATCH(D96,'Name &amp; Email id'!C:C,0),2)</f>
        <v>bartlett@mac.com</v>
      </c>
      <c r="I96" s="1">
        <v>44129</v>
      </c>
      <c r="J96" s="18" t="s">
        <v>189</v>
      </c>
      <c r="K96" s="19" t="str">
        <f t="shared" ca="1" si="10"/>
        <v>Completed</v>
      </c>
      <c r="L96" s="27" t="str">
        <f t="shared" ca="1" si="11"/>
        <v>Yes</v>
      </c>
    </row>
    <row r="97" spans="1:12" x14ac:dyDescent="0.3">
      <c r="A97" s="2">
        <v>96</v>
      </c>
      <c r="B97" s="10">
        <v>43891</v>
      </c>
      <c r="C97" s="2" t="s">
        <v>116</v>
      </c>
      <c r="D97" s="2" t="s">
        <v>22</v>
      </c>
      <c r="E97" s="1">
        <v>44155</v>
      </c>
      <c r="F97" s="22">
        <f t="shared" ca="1" si="8"/>
        <v>197</v>
      </c>
      <c r="G97" s="12">
        <f t="shared" ca="1" si="9"/>
        <v>197</v>
      </c>
      <c r="H97" s="2" t="str">
        <f>INDEX('Name &amp; Email id'!C:D,MATCH(D97,'Name &amp; Email id'!C:C,0),2)</f>
        <v>aukjan@msn.com</v>
      </c>
      <c r="I97" s="1">
        <v>44129</v>
      </c>
      <c r="J97" s="18" t="s">
        <v>189</v>
      </c>
      <c r="K97" s="19" t="str">
        <f t="shared" ca="1" si="10"/>
        <v>Completed</v>
      </c>
      <c r="L97" s="27" t="str">
        <f t="shared" ca="1" si="11"/>
        <v>Yes</v>
      </c>
    </row>
    <row r="98" spans="1:12" x14ac:dyDescent="0.3">
      <c r="A98" s="2">
        <v>97</v>
      </c>
      <c r="B98" s="10">
        <v>43891</v>
      </c>
      <c r="C98" s="2" t="s">
        <v>117</v>
      </c>
      <c r="D98" s="2" t="s">
        <v>24</v>
      </c>
      <c r="E98" s="1">
        <v>44150</v>
      </c>
      <c r="F98" s="22">
        <f t="shared" ref="F98:F129" ca="1" si="12">$E98-TODAY()</f>
        <v>192</v>
      </c>
      <c r="G98" s="12">
        <f t="shared" ref="G98:G129" ca="1" si="13">IF(K98="Overdue",0,IF(F98&lt;0,"",F98))</f>
        <v>192</v>
      </c>
      <c r="H98" s="2" t="str">
        <f>INDEX('Name &amp; Email id'!C:D,MATCH(D98,'Name &amp; Email id'!C:C,0),2)</f>
        <v>cremonini@att.net</v>
      </c>
      <c r="I98" s="1">
        <v>44134</v>
      </c>
      <c r="J98" s="18" t="s">
        <v>189</v>
      </c>
      <c r="K98" s="19" t="str">
        <f t="shared" ref="K98:K129" ca="1" si="14">IF($J98="D","Completed",IF($J98="C","Closed",IF(AND($J98="W",TODAY()&lt;$E98),"Days left "&amp;E98-TODAY(),IF(AND($J98="W",TODAY()&gt;=E98),"Overdue"," "))))</f>
        <v>Completed</v>
      </c>
      <c r="L98" s="27" t="str">
        <f t="shared" ref="L98:L129" ca="1" si="15">IF(OR($K98="Completed",$K98="Closed"),IF($I98&lt;E98,"Yes","No"),"")</f>
        <v>Yes</v>
      </c>
    </row>
    <row r="99" spans="1:12" x14ac:dyDescent="0.3">
      <c r="A99" s="2">
        <v>98</v>
      </c>
      <c r="B99" s="10">
        <v>43891</v>
      </c>
      <c r="C99" s="2" t="s">
        <v>118</v>
      </c>
      <c r="D99" s="2" t="s">
        <v>26</v>
      </c>
      <c r="E99" s="1">
        <v>44155</v>
      </c>
      <c r="F99" s="22">
        <f t="shared" ca="1" si="12"/>
        <v>197</v>
      </c>
      <c r="G99" s="12">
        <f t="shared" ca="1" si="13"/>
        <v>197</v>
      </c>
      <c r="H99" s="2" t="str">
        <f>INDEX('Name &amp; Email id'!C:D,MATCH(D99,'Name &amp; Email id'!C:C,0),2)</f>
        <v>pereinar@yahoo.com</v>
      </c>
      <c r="I99" s="1">
        <v>44131</v>
      </c>
      <c r="J99" s="18" t="s">
        <v>189</v>
      </c>
      <c r="K99" s="19" t="str">
        <f t="shared" ca="1" si="14"/>
        <v>Completed</v>
      </c>
      <c r="L99" s="27" t="str">
        <f t="shared" ca="1" si="15"/>
        <v>Yes</v>
      </c>
    </row>
    <row r="100" spans="1:12" x14ac:dyDescent="0.3">
      <c r="A100" s="2">
        <v>99</v>
      </c>
      <c r="B100" s="10">
        <v>43891</v>
      </c>
      <c r="C100" s="2" t="s">
        <v>119</v>
      </c>
      <c r="D100" s="2" t="s">
        <v>28</v>
      </c>
      <c r="E100" s="1">
        <v>44150</v>
      </c>
      <c r="F100" s="22">
        <f t="shared" ca="1" si="12"/>
        <v>192</v>
      </c>
      <c r="G100" s="12">
        <f t="shared" ca="1" si="13"/>
        <v>192</v>
      </c>
      <c r="H100" s="2" t="str">
        <f>INDEX('Name &amp; Email id'!C:D,MATCH(D100,'Name &amp; Email id'!C:C,0),2)</f>
        <v>mschwartz@att.net</v>
      </c>
      <c r="I100" s="1">
        <v>44129</v>
      </c>
      <c r="J100" s="18" t="s">
        <v>189</v>
      </c>
      <c r="K100" s="19" t="str">
        <f t="shared" ca="1" si="14"/>
        <v>Completed</v>
      </c>
      <c r="L100" s="27" t="str">
        <f t="shared" ca="1" si="15"/>
        <v>Yes</v>
      </c>
    </row>
    <row r="101" spans="1:12" x14ac:dyDescent="0.3">
      <c r="A101" s="2">
        <v>100</v>
      </c>
      <c r="B101" s="10">
        <v>43891</v>
      </c>
      <c r="C101" s="2" t="s">
        <v>120</v>
      </c>
      <c r="D101" s="2" t="s">
        <v>30</v>
      </c>
      <c r="E101" s="1">
        <v>44155</v>
      </c>
      <c r="F101" s="22">
        <f t="shared" ca="1" si="12"/>
        <v>197</v>
      </c>
      <c r="G101" s="12">
        <f t="shared" ca="1" si="13"/>
        <v>197</v>
      </c>
      <c r="H101" s="2" t="str">
        <f>INDEX('Name &amp; Email id'!C:D,MATCH(D101,'Name &amp; Email id'!C:C,0),2)</f>
        <v>johnparker@gmail.com</v>
      </c>
      <c r="I101" s="1">
        <v>44169</v>
      </c>
      <c r="J101" s="18" t="s">
        <v>189</v>
      </c>
      <c r="K101" s="19" t="str">
        <f t="shared" ca="1" si="14"/>
        <v>Completed</v>
      </c>
      <c r="L101" s="27" t="str">
        <f t="shared" ca="1" si="15"/>
        <v>No</v>
      </c>
    </row>
    <row r="102" spans="1:12" x14ac:dyDescent="0.3">
      <c r="A102" s="2">
        <v>101</v>
      </c>
      <c r="B102" s="10">
        <v>43891</v>
      </c>
      <c r="C102" s="2" t="s">
        <v>121</v>
      </c>
      <c r="D102" s="2" t="s">
        <v>14</v>
      </c>
      <c r="E102" s="1">
        <v>44165</v>
      </c>
      <c r="F102" s="22">
        <f t="shared" ca="1" si="12"/>
        <v>207</v>
      </c>
      <c r="G102" s="12">
        <f t="shared" ca="1" si="13"/>
        <v>207</v>
      </c>
      <c r="H102" s="2" t="str">
        <f>INDEX('Name &amp; Email id'!C:D,MATCH(D102,'Name &amp; Email id'!C:C,0),2)</f>
        <v>isotopian@icloud.com</v>
      </c>
      <c r="I102" s="1">
        <v>44150</v>
      </c>
      <c r="J102" s="18" t="s">
        <v>189</v>
      </c>
      <c r="K102" s="19" t="str">
        <f t="shared" ca="1" si="14"/>
        <v>Completed</v>
      </c>
      <c r="L102" s="27" t="str">
        <f t="shared" ca="1" si="15"/>
        <v>Yes</v>
      </c>
    </row>
    <row r="103" spans="1:12" x14ac:dyDescent="0.3">
      <c r="A103" s="2">
        <v>102</v>
      </c>
      <c r="B103" s="10">
        <v>43891</v>
      </c>
      <c r="C103" s="2" t="s">
        <v>122</v>
      </c>
      <c r="D103" s="2" t="s">
        <v>16</v>
      </c>
      <c r="E103" s="1">
        <v>44149</v>
      </c>
      <c r="F103" s="22">
        <f t="shared" ca="1" si="12"/>
        <v>191</v>
      </c>
      <c r="G103" s="12">
        <f t="shared" ca="1" si="13"/>
        <v>191</v>
      </c>
      <c r="H103" s="2" t="str">
        <f>INDEX('Name &amp; Email id'!C:D,MATCH(D103,'Name &amp; Email id'!C:C,0),2)</f>
        <v>denism@aol.com</v>
      </c>
      <c r="I103" s="1">
        <v>44160</v>
      </c>
      <c r="J103" s="18" t="s">
        <v>189</v>
      </c>
      <c r="K103" s="19" t="str">
        <f t="shared" ca="1" si="14"/>
        <v>Completed</v>
      </c>
      <c r="L103" s="27" t="str">
        <f t="shared" ca="1" si="15"/>
        <v>No</v>
      </c>
    </row>
    <row r="104" spans="1:12" x14ac:dyDescent="0.3">
      <c r="A104" s="2">
        <v>103</v>
      </c>
      <c r="B104" s="10">
        <v>43891</v>
      </c>
      <c r="C104" s="2" t="s">
        <v>123</v>
      </c>
      <c r="D104" s="2" t="s">
        <v>18</v>
      </c>
      <c r="E104" s="1">
        <v>44155</v>
      </c>
      <c r="F104" s="22">
        <f t="shared" ca="1" si="12"/>
        <v>197</v>
      </c>
      <c r="G104" s="12">
        <f t="shared" ca="1" si="13"/>
        <v>197</v>
      </c>
      <c r="H104" s="2" t="str">
        <f>INDEX('Name &amp; Email id'!C:D,MATCH(D104,'Name &amp; Email id'!C:C,0),2)</f>
        <v>bmorrow@verizon.net</v>
      </c>
      <c r="I104" s="1">
        <v>44177</v>
      </c>
      <c r="J104" s="18" t="s">
        <v>189</v>
      </c>
      <c r="K104" s="19" t="str">
        <f t="shared" ca="1" si="14"/>
        <v>Completed</v>
      </c>
      <c r="L104" s="27" t="str">
        <f t="shared" ca="1" si="15"/>
        <v>No</v>
      </c>
    </row>
    <row r="105" spans="1:12" x14ac:dyDescent="0.3">
      <c r="A105" s="2">
        <v>104</v>
      </c>
      <c r="B105" s="10">
        <v>43891</v>
      </c>
      <c r="C105" s="2" t="s">
        <v>124</v>
      </c>
      <c r="D105" s="2" t="s">
        <v>20</v>
      </c>
      <c r="E105" s="1">
        <v>44160</v>
      </c>
      <c r="F105" s="22">
        <f t="shared" ca="1" si="12"/>
        <v>202</v>
      </c>
      <c r="G105" s="12">
        <f t="shared" ca="1" si="13"/>
        <v>202</v>
      </c>
      <c r="H105" s="2" t="str">
        <f>INDEX('Name &amp; Email id'!C:D,MATCH(D105,'Name &amp; Email id'!C:C,0),2)</f>
        <v>bartlett@mac.com</v>
      </c>
      <c r="I105" s="1">
        <v>44166</v>
      </c>
      <c r="J105" s="18" t="s">
        <v>189</v>
      </c>
      <c r="K105" s="19" t="str">
        <f t="shared" ca="1" si="14"/>
        <v>Completed</v>
      </c>
      <c r="L105" s="27" t="str">
        <f t="shared" ca="1" si="15"/>
        <v>No</v>
      </c>
    </row>
    <row r="106" spans="1:12" x14ac:dyDescent="0.3">
      <c r="A106" s="2">
        <v>105</v>
      </c>
      <c r="B106" s="10">
        <v>43891</v>
      </c>
      <c r="C106" s="2" t="s">
        <v>125</v>
      </c>
      <c r="D106" s="2" t="s">
        <v>22</v>
      </c>
      <c r="E106" s="1">
        <v>44165</v>
      </c>
      <c r="F106" s="22">
        <f t="shared" ca="1" si="12"/>
        <v>207</v>
      </c>
      <c r="G106" s="12">
        <f t="shared" ca="1" si="13"/>
        <v>207</v>
      </c>
      <c r="H106" s="2" t="str">
        <f>INDEX('Name &amp; Email id'!C:D,MATCH(D106,'Name &amp; Email id'!C:C,0),2)</f>
        <v>aukjan@msn.com</v>
      </c>
      <c r="I106" s="1">
        <v>44155</v>
      </c>
      <c r="J106" s="18" t="s">
        <v>189</v>
      </c>
      <c r="K106" s="19" t="str">
        <f t="shared" ca="1" si="14"/>
        <v>Completed</v>
      </c>
      <c r="L106" s="27" t="str">
        <f t="shared" ca="1" si="15"/>
        <v>Yes</v>
      </c>
    </row>
    <row r="107" spans="1:12" x14ac:dyDescent="0.3">
      <c r="A107" s="2">
        <v>106</v>
      </c>
      <c r="B107" s="10">
        <v>43891</v>
      </c>
      <c r="C107" s="2" t="s">
        <v>126</v>
      </c>
      <c r="D107" s="2" t="s">
        <v>24</v>
      </c>
      <c r="E107" s="1">
        <v>44160</v>
      </c>
      <c r="F107" s="22">
        <f t="shared" ca="1" si="12"/>
        <v>202</v>
      </c>
      <c r="G107" s="12">
        <f t="shared" ca="1" si="13"/>
        <v>202</v>
      </c>
      <c r="H107" s="2" t="str">
        <f>INDEX('Name &amp; Email id'!C:D,MATCH(D107,'Name &amp; Email id'!C:C,0),2)</f>
        <v>cremonini@att.net</v>
      </c>
      <c r="I107" s="1">
        <v>44167</v>
      </c>
      <c r="J107" s="18" t="s">
        <v>189</v>
      </c>
      <c r="K107" s="19" t="str">
        <f t="shared" ca="1" si="14"/>
        <v>Completed</v>
      </c>
      <c r="L107" s="27" t="str">
        <f t="shared" ca="1" si="15"/>
        <v>No</v>
      </c>
    </row>
    <row r="108" spans="1:12" x14ac:dyDescent="0.3">
      <c r="A108" s="2">
        <v>107</v>
      </c>
      <c r="B108" s="10">
        <v>43891</v>
      </c>
      <c r="C108" s="2" t="s">
        <v>127</v>
      </c>
      <c r="D108" s="2" t="s">
        <v>26</v>
      </c>
      <c r="E108" s="1">
        <v>44160</v>
      </c>
      <c r="F108" s="22">
        <f t="shared" ca="1" si="12"/>
        <v>202</v>
      </c>
      <c r="G108" s="12">
        <f t="shared" ca="1" si="13"/>
        <v>202</v>
      </c>
      <c r="H108" s="2" t="str">
        <f>INDEX('Name &amp; Email id'!C:D,MATCH(D108,'Name &amp; Email id'!C:C,0),2)</f>
        <v>pereinar@yahoo.com</v>
      </c>
      <c r="I108" s="1">
        <v>44168</v>
      </c>
      <c r="J108" s="18" t="s">
        <v>189</v>
      </c>
      <c r="K108" s="19" t="str">
        <f t="shared" ca="1" si="14"/>
        <v>Completed</v>
      </c>
      <c r="L108" s="27" t="str">
        <f t="shared" ca="1" si="15"/>
        <v>No</v>
      </c>
    </row>
    <row r="109" spans="1:12" x14ac:dyDescent="0.3">
      <c r="A109" s="2">
        <v>108</v>
      </c>
      <c r="B109" s="10">
        <v>43891</v>
      </c>
      <c r="C109" s="2" t="s">
        <v>128</v>
      </c>
      <c r="D109" s="2" t="s">
        <v>28</v>
      </c>
      <c r="E109" s="1">
        <v>44170</v>
      </c>
      <c r="F109" s="22">
        <f t="shared" ca="1" si="12"/>
        <v>212</v>
      </c>
      <c r="G109" s="12">
        <f t="shared" ca="1" si="13"/>
        <v>212</v>
      </c>
      <c r="H109" s="2" t="str">
        <f>INDEX('Name &amp; Email id'!C:D,MATCH(D109,'Name &amp; Email id'!C:C,0),2)</f>
        <v>mschwartz@att.net</v>
      </c>
      <c r="I109" s="1">
        <v>44165</v>
      </c>
      <c r="J109" s="18" t="s">
        <v>189</v>
      </c>
      <c r="K109" s="19" t="str">
        <f t="shared" ca="1" si="14"/>
        <v>Completed</v>
      </c>
      <c r="L109" s="27" t="str">
        <f t="shared" ca="1" si="15"/>
        <v>Yes</v>
      </c>
    </row>
    <row r="110" spans="1:12" x14ac:dyDescent="0.3">
      <c r="A110" s="2">
        <v>109</v>
      </c>
      <c r="B110" s="10">
        <v>43891</v>
      </c>
      <c r="C110" s="2" t="s">
        <v>129</v>
      </c>
      <c r="D110" s="2" t="s">
        <v>30</v>
      </c>
      <c r="E110" s="1">
        <v>44160</v>
      </c>
      <c r="F110" s="22">
        <f t="shared" ca="1" si="12"/>
        <v>202</v>
      </c>
      <c r="G110" s="12">
        <f t="shared" ca="1" si="13"/>
        <v>202</v>
      </c>
      <c r="H110" s="2" t="str">
        <f>INDEX('Name &amp; Email id'!C:D,MATCH(D110,'Name &amp; Email id'!C:C,0),2)</f>
        <v>johnparker@gmail.com</v>
      </c>
      <c r="I110" s="1">
        <v>44142</v>
      </c>
      <c r="J110" s="18" t="s">
        <v>189</v>
      </c>
      <c r="K110" s="19" t="str">
        <f t="shared" ca="1" si="14"/>
        <v>Completed</v>
      </c>
      <c r="L110" s="27" t="str">
        <f t="shared" ca="1" si="15"/>
        <v>Yes</v>
      </c>
    </row>
    <row r="111" spans="1:12" x14ac:dyDescent="0.3">
      <c r="A111" s="2">
        <v>110</v>
      </c>
      <c r="B111" s="10">
        <v>43891</v>
      </c>
      <c r="C111" s="2" t="s">
        <v>130</v>
      </c>
      <c r="D111" s="2" t="s">
        <v>14</v>
      </c>
      <c r="E111" s="1">
        <v>44142</v>
      </c>
      <c r="F111" s="22">
        <f t="shared" ca="1" si="12"/>
        <v>184</v>
      </c>
      <c r="G111" s="12">
        <f t="shared" ca="1" si="13"/>
        <v>184</v>
      </c>
      <c r="H111" s="2" t="str">
        <f>INDEX('Name &amp; Email id'!C:D,MATCH(D111,'Name &amp; Email id'!C:C,0),2)</f>
        <v>isotopian@icloud.com</v>
      </c>
      <c r="I111" s="1">
        <v>44148</v>
      </c>
      <c r="J111" s="18" t="s">
        <v>189</v>
      </c>
      <c r="K111" s="19" t="str">
        <f t="shared" ca="1" si="14"/>
        <v>Completed</v>
      </c>
      <c r="L111" s="27" t="str">
        <f t="shared" ca="1" si="15"/>
        <v>No</v>
      </c>
    </row>
    <row r="112" spans="1:12" x14ac:dyDescent="0.3">
      <c r="A112" s="2">
        <v>111</v>
      </c>
      <c r="B112" s="10">
        <v>43891</v>
      </c>
      <c r="C112" s="2" t="s">
        <v>131</v>
      </c>
      <c r="D112" s="2" t="s">
        <v>16</v>
      </c>
      <c r="E112" s="1">
        <v>44150</v>
      </c>
      <c r="F112" s="22">
        <f t="shared" ca="1" si="12"/>
        <v>192</v>
      </c>
      <c r="G112" s="12">
        <f t="shared" ca="1" si="13"/>
        <v>192</v>
      </c>
      <c r="H112" s="2" t="str">
        <f>INDEX('Name &amp; Email id'!C:D,MATCH(D112,'Name &amp; Email id'!C:C,0),2)</f>
        <v>denism@aol.com</v>
      </c>
      <c r="I112" s="26"/>
      <c r="J112" s="18" t="s">
        <v>191</v>
      </c>
      <c r="K112" s="19" t="str">
        <f t="shared" ca="1" si="14"/>
        <v>Days left 192</v>
      </c>
      <c r="L112" s="27" t="str">
        <f t="shared" ca="1" si="15"/>
        <v/>
      </c>
    </row>
    <row r="113" spans="1:12" x14ac:dyDescent="0.3">
      <c r="A113" s="2">
        <v>112</v>
      </c>
      <c r="B113" s="10">
        <v>43891</v>
      </c>
      <c r="C113" s="2" t="s">
        <v>132</v>
      </c>
      <c r="D113" s="2" t="s">
        <v>18</v>
      </c>
      <c r="E113" s="1"/>
      <c r="F113" s="22">
        <f t="shared" ca="1" si="12"/>
        <v>-43958</v>
      </c>
      <c r="G113" s="12" t="str">
        <f t="shared" ca="1" si="13"/>
        <v/>
      </c>
      <c r="H113" s="2" t="str">
        <f>INDEX('Name &amp; Email id'!C:D,MATCH(D113,'Name &amp; Email id'!C:C,0),2)</f>
        <v>bmorrow@verizon.net</v>
      </c>
      <c r="I113" s="1">
        <v>44159</v>
      </c>
      <c r="J113" s="18" t="s">
        <v>189</v>
      </c>
      <c r="K113" s="19" t="str">
        <f t="shared" ca="1" si="14"/>
        <v>Completed</v>
      </c>
      <c r="L113" s="27" t="str">
        <f t="shared" ca="1" si="15"/>
        <v>No</v>
      </c>
    </row>
    <row r="114" spans="1:12" x14ac:dyDescent="0.3">
      <c r="A114" s="2">
        <v>113</v>
      </c>
      <c r="B114" s="10">
        <v>43891</v>
      </c>
      <c r="C114" s="2" t="s">
        <v>133</v>
      </c>
      <c r="D114" s="2" t="s">
        <v>20</v>
      </c>
      <c r="E114" s="1">
        <v>44160</v>
      </c>
      <c r="F114" s="22">
        <f t="shared" ca="1" si="12"/>
        <v>202</v>
      </c>
      <c r="G114" s="12">
        <f t="shared" ca="1" si="13"/>
        <v>202</v>
      </c>
      <c r="H114" s="2" t="str">
        <f>INDEX('Name &amp; Email id'!C:D,MATCH(D114,'Name &amp; Email id'!C:C,0),2)</f>
        <v>bartlett@mac.com</v>
      </c>
      <c r="I114" s="26"/>
      <c r="J114" s="18" t="s">
        <v>191</v>
      </c>
      <c r="K114" s="19" t="str">
        <f t="shared" ca="1" si="14"/>
        <v>Days left 202</v>
      </c>
      <c r="L114" s="27" t="str">
        <f t="shared" ca="1" si="15"/>
        <v/>
      </c>
    </row>
    <row r="115" spans="1:12" x14ac:dyDescent="0.3">
      <c r="A115" s="2">
        <v>114</v>
      </c>
      <c r="B115" s="10">
        <v>43891</v>
      </c>
      <c r="C115" s="2" t="s">
        <v>134</v>
      </c>
      <c r="D115" s="2" t="s">
        <v>22</v>
      </c>
      <c r="E115" s="1">
        <v>43951</v>
      </c>
      <c r="F115" s="22">
        <f t="shared" ca="1" si="12"/>
        <v>-7</v>
      </c>
      <c r="G115" s="12" t="str">
        <f t="shared" ca="1" si="13"/>
        <v/>
      </c>
      <c r="H115" s="2" t="str">
        <f>INDEX('Name &amp; Email id'!C:D,MATCH(D115,'Name &amp; Email id'!C:C,0),2)</f>
        <v>aukjan@msn.com</v>
      </c>
      <c r="I115" s="1">
        <v>44156</v>
      </c>
      <c r="J115" s="18" t="s">
        <v>189</v>
      </c>
      <c r="K115" s="19" t="str">
        <f t="shared" ca="1" si="14"/>
        <v>Completed</v>
      </c>
      <c r="L115" s="27" t="str">
        <f t="shared" ca="1" si="15"/>
        <v>No</v>
      </c>
    </row>
    <row r="116" spans="1:12" x14ac:dyDescent="0.3">
      <c r="A116" s="2">
        <v>115</v>
      </c>
      <c r="B116" s="10">
        <v>43891</v>
      </c>
      <c r="C116" s="2" t="s">
        <v>135</v>
      </c>
      <c r="D116" s="2" t="s">
        <v>24</v>
      </c>
      <c r="E116" s="1">
        <v>44155</v>
      </c>
      <c r="F116" s="22">
        <f t="shared" ca="1" si="12"/>
        <v>197</v>
      </c>
      <c r="G116" s="12">
        <f t="shared" ca="1" si="13"/>
        <v>197</v>
      </c>
      <c r="H116" s="2" t="str">
        <f>INDEX('Name &amp; Email id'!C:D,MATCH(D116,'Name &amp; Email id'!C:C,0),2)</f>
        <v>cremonini@att.net</v>
      </c>
      <c r="I116" s="1">
        <v>44175</v>
      </c>
      <c r="J116" s="18" t="s">
        <v>193</v>
      </c>
      <c r="K116" s="19" t="str">
        <f t="shared" ca="1" si="14"/>
        <v>Closed</v>
      </c>
      <c r="L116" s="27" t="str">
        <f t="shared" ca="1" si="15"/>
        <v>No</v>
      </c>
    </row>
    <row r="117" spans="1:12" x14ac:dyDescent="0.3">
      <c r="A117" s="2">
        <v>116</v>
      </c>
      <c r="B117" s="10">
        <v>43891</v>
      </c>
      <c r="C117" s="2" t="s">
        <v>136</v>
      </c>
      <c r="D117" s="2" t="s">
        <v>26</v>
      </c>
      <c r="E117" s="1">
        <v>44180</v>
      </c>
      <c r="F117" s="22">
        <f t="shared" ca="1" si="12"/>
        <v>222</v>
      </c>
      <c r="G117" s="12">
        <f t="shared" ca="1" si="13"/>
        <v>222</v>
      </c>
      <c r="H117" s="2" t="str">
        <f>INDEX('Name &amp; Email id'!C:D,MATCH(D117,'Name &amp; Email id'!C:C,0),2)</f>
        <v>pereinar@yahoo.com</v>
      </c>
      <c r="I117" s="1">
        <v>44175</v>
      </c>
      <c r="J117" s="18" t="s">
        <v>193</v>
      </c>
      <c r="K117" s="19" t="str">
        <f t="shared" ca="1" si="14"/>
        <v>Closed</v>
      </c>
      <c r="L117" s="27" t="str">
        <f t="shared" ca="1" si="15"/>
        <v>Yes</v>
      </c>
    </row>
    <row r="118" spans="1:12" x14ac:dyDescent="0.3">
      <c r="A118" s="2">
        <v>117</v>
      </c>
      <c r="B118" s="10">
        <v>43891</v>
      </c>
      <c r="C118" s="2" t="s">
        <v>137</v>
      </c>
      <c r="D118" s="2" t="s">
        <v>28</v>
      </c>
      <c r="E118" s="1">
        <v>44180</v>
      </c>
      <c r="F118" s="22">
        <f t="shared" ca="1" si="12"/>
        <v>222</v>
      </c>
      <c r="G118" s="12">
        <f t="shared" ca="1" si="13"/>
        <v>222</v>
      </c>
      <c r="H118" s="2" t="str">
        <f>INDEX('Name &amp; Email id'!C:D,MATCH(D118,'Name &amp; Email id'!C:C,0),2)</f>
        <v>mschwartz@att.net</v>
      </c>
      <c r="I118" s="1">
        <v>44166</v>
      </c>
      <c r="J118" s="18" t="s">
        <v>189</v>
      </c>
      <c r="K118" s="19" t="str">
        <f t="shared" ca="1" si="14"/>
        <v>Completed</v>
      </c>
      <c r="L118" s="27" t="str">
        <f t="shared" ca="1" si="15"/>
        <v>Yes</v>
      </c>
    </row>
    <row r="119" spans="1:12" x14ac:dyDescent="0.3">
      <c r="A119" s="2">
        <v>118</v>
      </c>
      <c r="B119" s="10">
        <v>43891</v>
      </c>
      <c r="C119" s="2" t="s">
        <v>138</v>
      </c>
      <c r="D119" s="2" t="s">
        <v>30</v>
      </c>
      <c r="E119" s="1">
        <v>44190</v>
      </c>
      <c r="F119" s="22">
        <f t="shared" ca="1" si="12"/>
        <v>232</v>
      </c>
      <c r="G119" s="12">
        <f t="shared" ca="1" si="13"/>
        <v>232</v>
      </c>
      <c r="H119" s="2" t="str">
        <f>INDEX('Name &amp; Email id'!C:D,MATCH(D119,'Name &amp; Email id'!C:C,0),2)</f>
        <v>johnparker@gmail.com</v>
      </c>
      <c r="I119" s="1">
        <v>44175</v>
      </c>
      <c r="J119" s="18" t="s">
        <v>189</v>
      </c>
      <c r="K119" s="19" t="str">
        <f t="shared" ca="1" si="14"/>
        <v>Completed</v>
      </c>
      <c r="L119" s="27" t="str">
        <f t="shared" ca="1" si="15"/>
        <v>Yes</v>
      </c>
    </row>
    <row r="120" spans="1:12" x14ac:dyDescent="0.3">
      <c r="A120" s="2">
        <v>119</v>
      </c>
      <c r="B120" s="10">
        <v>43891</v>
      </c>
      <c r="C120" s="2" t="s">
        <v>139</v>
      </c>
      <c r="D120" s="2" t="s">
        <v>14</v>
      </c>
      <c r="E120" s="1">
        <v>44180</v>
      </c>
      <c r="F120" s="22">
        <f t="shared" ca="1" si="12"/>
        <v>222</v>
      </c>
      <c r="G120" s="12">
        <f t="shared" ca="1" si="13"/>
        <v>222</v>
      </c>
      <c r="H120" s="2" t="str">
        <f>INDEX('Name &amp; Email id'!C:D,MATCH(D120,'Name &amp; Email id'!C:C,0),2)</f>
        <v>isotopian@icloud.com</v>
      </c>
      <c r="I120" s="1">
        <v>44155</v>
      </c>
      <c r="J120" s="18" t="s">
        <v>189</v>
      </c>
      <c r="K120" s="19" t="str">
        <f t="shared" ca="1" si="14"/>
        <v>Completed</v>
      </c>
      <c r="L120" s="27" t="str">
        <f t="shared" ca="1" si="15"/>
        <v>Yes</v>
      </c>
    </row>
    <row r="121" spans="1:12" x14ac:dyDescent="0.3">
      <c r="A121" s="2">
        <v>120</v>
      </c>
      <c r="B121" s="10">
        <v>43891</v>
      </c>
      <c r="C121" s="2" t="s">
        <v>140</v>
      </c>
      <c r="D121" s="2" t="s">
        <v>16</v>
      </c>
      <c r="E121" s="1">
        <v>44157</v>
      </c>
      <c r="F121" s="22">
        <f t="shared" ca="1" si="12"/>
        <v>199</v>
      </c>
      <c r="G121" s="12">
        <f t="shared" ca="1" si="13"/>
        <v>199</v>
      </c>
      <c r="H121" s="2" t="str">
        <f>INDEX('Name &amp; Email id'!C:D,MATCH(D121,'Name &amp; Email id'!C:C,0),2)</f>
        <v>denism@aol.com</v>
      </c>
      <c r="I121" s="1">
        <v>44155</v>
      </c>
      <c r="J121" s="18" t="s">
        <v>189</v>
      </c>
      <c r="K121" s="19" t="str">
        <f t="shared" ca="1" si="14"/>
        <v>Completed</v>
      </c>
      <c r="L121" s="27" t="str">
        <f t="shared" ca="1" si="15"/>
        <v>Yes</v>
      </c>
    </row>
    <row r="122" spans="1:12" x14ac:dyDescent="0.3">
      <c r="A122" s="2">
        <v>121</v>
      </c>
      <c r="B122" s="10">
        <v>43891</v>
      </c>
      <c r="C122" s="2" t="s">
        <v>141</v>
      </c>
      <c r="D122" s="2" t="s">
        <v>18</v>
      </c>
      <c r="E122" s="1">
        <v>44157</v>
      </c>
      <c r="F122" s="22">
        <f t="shared" ca="1" si="12"/>
        <v>199</v>
      </c>
      <c r="G122" s="12">
        <f t="shared" ca="1" si="13"/>
        <v>199</v>
      </c>
      <c r="H122" s="2" t="str">
        <f>INDEX('Name &amp; Email id'!C:D,MATCH(D122,'Name &amp; Email id'!C:C,0),2)</f>
        <v>bmorrow@verizon.net</v>
      </c>
      <c r="I122" s="1">
        <v>44144</v>
      </c>
      <c r="J122" s="18" t="s">
        <v>189</v>
      </c>
      <c r="K122" s="19" t="str">
        <f t="shared" ca="1" si="14"/>
        <v>Completed</v>
      </c>
      <c r="L122" s="27" t="str">
        <f t="shared" ca="1" si="15"/>
        <v>Yes</v>
      </c>
    </row>
    <row r="123" spans="1:12" x14ac:dyDescent="0.3">
      <c r="A123" s="2">
        <v>122</v>
      </c>
      <c r="B123" s="10">
        <v>43891</v>
      </c>
      <c r="C123" s="2" t="s">
        <v>142</v>
      </c>
      <c r="D123" s="2" t="s">
        <v>20</v>
      </c>
      <c r="E123" s="1">
        <v>44145</v>
      </c>
      <c r="F123" s="22">
        <f t="shared" ca="1" si="12"/>
        <v>187</v>
      </c>
      <c r="G123" s="12">
        <f t="shared" ca="1" si="13"/>
        <v>187</v>
      </c>
      <c r="H123" s="2" t="str">
        <f>INDEX('Name &amp; Email id'!C:D,MATCH(D123,'Name &amp; Email id'!C:C,0),2)</f>
        <v>bartlett@mac.com</v>
      </c>
      <c r="I123" s="1">
        <v>44170</v>
      </c>
      <c r="J123" s="18" t="s">
        <v>189</v>
      </c>
      <c r="K123" s="19" t="str">
        <f t="shared" ca="1" si="14"/>
        <v>Completed</v>
      </c>
      <c r="L123" s="27" t="str">
        <f t="shared" ca="1" si="15"/>
        <v>No</v>
      </c>
    </row>
    <row r="124" spans="1:12" x14ac:dyDescent="0.3">
      <c r="A124" s="2">
        <v>123</v>
      </c>
      <c r="B124" s="10">
        <v>43891</v>
      </c>
      <c r="C124" s="2" t="s">
        <v>143</v>
      </c>
      <c r="D124" s="2" t="s">
        <v>22</v>
      </c>
      <c r="E124" s="1">
        <v>44165</v>
      </c>
      <c r="F124" s="22">
        <f t="shared" ca="1" si="12"/>
        <v>207</v>
      </c>
      <c r="G124" s="12">
        <f t="shared" ca="1" si="13"/>
        <v>207</v>
      </c>
      <c r="H124" s="2" t="str">
        <f>INDEX('Name &amp; Email id'!C:D,MATCH(D124,'Name &amp; Email id'!C:C,0),2)</f>
        <v>aukjan@msn.com</v>
      </c>
      <c r="I124" s="1">
        <v>44150</v>
      </c>
      <c r="J124" s="18" t="s">
        <v>189</v>
      </c>
      <c r="K124" s="19" t="str">
        <f t="shared" ca="1" si="14"/>
        <v>Completed</v>
      </c>
      <c r="L124" s="27" t="str">
        <f t="shared" ca="1" si="15"/>
        <v>Yes</v>
      </c>
    </row>
    <row r="125" spans="1:12" x14ac:dyDescent="0.3">
      <c r="A125" s="2">
        <v>124</v>
      </c>
      <c r="B125" s="10">
        <v>43891</v>
      </c>
      <c r="C125" s="2" t="s">
        <v>144</v>
      </c>
      <c r="D125" s="2" t="s">
        <v>24</v>
      </c>
      <c r="E125" s="1">
        <v>44165</v>
      </c>
      <c r="F125" s="22">
        <f t="shared" ca="1" si="12"/>
        <v>207</v>
      </c>
      <c r="G125" s="12">
        <f t="shared" ca="1" si="13"/>
        <v>207</v>
      </c>
      <c r="H125" s="2" t="str">
        <f>INDEX('Name &amp; Email id'!C:D,MATCH(D125,'Name &amp; Email id'!C:C,0),2)</f>
        <v>cremonini@att.net</v>
      </c>
      <c r="I125" s="1">
        <v>44167</v>
      </c>
      <c r="J125" s="18" t="s">
        <v>189</v>
      </c>
      <c r="K125" s="19" t="str">
        <f t="shared" ca="1" si="14"/>
        <v>Completed</v>
      </c>
      <c r="L125" s="27" t="str">
        <f t="shared" ca="1" si="15"/>
        <v>No</v>
      </c>
    </row>
    <row r="126" spans="1:12" x14ac:dyDescent="0.3">
      <c r="A126" s="2">
        <v>125</v>
      </c>
      <c r="B126" s="10">
        <v>43891</v>
      </c>
      <c r="C126" s="2" t="s">
        <v>145</v>
      </c>
      <c r="D126" s="2" t="s">
        <v>26</v>
      </c>
      <c r="E126" s="1">
        <v>44165</v>
      </c>
      <c r="F126" s="22">
        <f t="shared" ca="1" si="12"/>
        <v>207</v>
      </c>
      <c r="G126" s="12">
        <f t="shared" ca="1" si="13"/>
        <v>207</v>
      </c>
      <c r="H126" s="2" t="str">
        <f>INDEX('Name &amp; Email id'!C:D,MATCH(D126,'Name &amp; Email id'!C:C,0),2)</f>
        <v>pereinar@yahoo.com</v>
      </c>
      <c r="I126" s="1">
        <v>43832</v>
      </c>
      <c r="J126" s="18" t="s">
        <v>189</v>
      </c>
      <c r="K126" s="19" t="str">
        <f t="shared" ca="1" si="14"/>
        <v>Completed</v>
      </c>
      <c r="L126" s="27" t="str">
        <f t="shared" ca="1" si="15"/>
        <v>Yes</v>
      </c>
    </row>
    <row r="127" spans="1:12" x14ac:dyDescent="0.3">
      <c r="A127" s="2">
        <v>126</v>
      </c>
      <c r="B127" s="10">
        <v>43891</v>
      </c>
      <c r="C127" s="2" t="s">
        <v>146</v>
      </c>
      <c r="D127" s="2" t="s">
        <v>28</v>
      </c>
      <c r="E127" s="1">
        <v>43860</v>
      </c>
      <c r="F127" s="22">
        <f t="shared" ca="1" si="12"/>
        <v>-98</v>
      </c>
      <c r="G127" s="12" t="str">
        <f t="shared" ca="1" si="13"/>
        <v/>
      </c>
      <c r="H127" s="2" t="str">
        <f>INDEX('Name &amp; Email id'!C:D,MATCH(D127,'Name &amp; Email id'!C:C,0),2)</f>
        <v>mschwartz@att.net</v>
      </c>
      <c r="I127" s="1">
        <v>43882</v>
      </c>
      <c r="J127" s="18" t="s">
        <v>189</v>
      </c>
      <c r="K127" s="19" t="str">
        <f t="shared" ca="1" si="14"/>
        <v>Completed</v>
      </c>
      <c r="L127" s="27" t="str">
        <f t="shared" ca="1" si="15"/>
        <v>No</v>
      </c>
    </row>
    <row r="128" spans="1:12" x14ac:dyDescent="0.3">
      <c r="A128" s="2">
        <v>127</v>
      </c>
      <c r="B128" s="10">
        <v>43891</v>
      </c>
      <c r="C128" s="2" t="s">
        <v>147</v>
      </c>
      <c r="D128" s="2" t="s">
        <v>30</v>
      </c>
      <c r="E128" s="1">
        <v>43850</v>
      </c>
      <c r="F128" s="22">
        <f t="shared" ca="1" si="12"/>
        <v>-108</v>
      </c>
      <c r="G128" s="12" t="str">
        <f t="shared" ca="1" si="13"/>
        <v/>
      </c>
      <c r="H128" s="2" t="str">
        <f>INDEX('Name &amp; Email id'!C:D,MATCH(D128,'Name &amp; Email id'!C:C,0),2)</f>
        <v>johnparker@gmail.com</v>
      </c>
      <c r="I128" s="1">
        <v>43850</v>
      </c>
      <c r="J128" s="18" t="s">
        <v>189</v>
      </c>
      <c r="K128" s="19" t="str">
        <f t="shared" ca="1" si="14"/>
        <v>Completed</v>
      </c>
      <c r="L128" s="27" t="str">
        <f t="shared" ca="1" si="15"/>
        <v>No</v>
      </c>
    </row>
    <row r="129" spans="1:12" x14ac:dyDescent="0.3">
      <c r="A129" s="2">
        <v>128</v>
      </c>
      <c r="B129" s="10">
        <v>43891</v>
      </c>
      <c r="C129" s="2" t="s">
        <v>148</v>
      </c>
      <c r="D129" s="2" t="s">
        <v>14</v>
      </c>
      <c r="E129" s="1">
        <v>43860</v>
      </c>
      <c r="F129" s="22">
        <f t="shared" ca="1" si="12"/>
        <v>-98</v>
      </c>
      <c r="G129" s="12" t="str">
        <f t="shared" ca="1" si="13"/>
        <v/>
      </c>
      <c r="H129" s="2" t="str">
        <f>INDEX('Name &amp; Email id'!C:D,MATCH(D129,'Name &amp; Email id'!C:C,0),2)</f>
        <v>isotopian@icloud.com</v>
      </c>
      <c r="I129" s="1">
        <v>44150</v>
      </c>
      <c r="J129" s="18" t="s">
        <v>189</v>
      </c>
      <c r="K129" s="19" t="str">
        <f t="shared" ca="1" si="14"/>
        <v>Completed</v>
      </c>
      <c r="L129" s="27" t="str">
        <f t="shared" ca="1" si="15"/>
        <v>No</v>
      </c>
    </row>
    <row r="130" spans="1:12" x14ac:dyDescent="0.3">
      <c r="A130" s="2">
        <v>129</v>
      </c>
      <c r="B130" s="10">
        <v>43891</v>
      </c>
      <c r="C130" s="2" t="s">
        <v>149</v>
      </c>
      <c r="D130" s="2" t="s">
        <v>16</v>
      </c>
      <c r="E130" s="1">
        <v>44155</v>
      </c>
      <c r="F130" s="22">
        <f t="shared" ref="F130:F161" ca="1" si="16">$E130-TODAY()</f>
        <v>197</v>
      </c>
      <c r="G130" s="12">
        <f t="shared" ref="G130:G161" ca="1" si="17">IF(K130="Overdue",0,IF(F130&lt;0,"",F130))</f>
        <v>197</v>
      </c>
      <c r="H130" s="2" t="str">
        <f>INDEX('Name &amp; Email id'!C:D,MATCH(D130,'Name &amp; Email id'!C:C,0),2)</f>
        <v>denism@aol.com</v>
      </c>
      <c r="I130" s="1">
        <v>44188</v>
      </c>
      <c r="J130" s="18" t="s">
        <v>189</v>
      </c>
      <c r="K130" s="19" t="str">
        <f t="shared" ref="K130:K161" ca="1" si="18">IF($J130="D","Completed",IF($J130="C","Closed",IF(AND($J130="W",TODAY()&lt;$E130),"Days left "&amp;E130-TODAY(),IF(AND($J130="W",TODAY()&gt;=E130),"Overdue"," "))))</f>
        <v>Completed</v>
      </c>
      <c r="L130" s="27" t="str">
        <f t="shared" ref="L130:L161" ca="1" si="19">IF(OR($K130="Completed",$K130="Closed"),IF($I130&lt;E130,"Yes","No"),"")</f>
        <v>No</v>
      </c>
    </row>
    <row r="131" spans="1:12" x14ac:dyDescent="0.3">
      <c r="A131" s="2">
        <v>130</v>
      </c>
      <c r="B131" s="10">
        <v>43891</v>
      </c>
      <c r="C131" s="2" t="s">
        <v>150</v>
      </c>
      <c r="D131" s="2" t="s">
        <v>18</v>
      </c>
      <c r="E131" s="1">
        <v>44190</v>
      </c>
      <c r="F131" s="22">
        <f t="shared" ca="1" si="16"/>
        <v>232</v>
      </c>
      <c r="G131" s="12">
        <f t="shared" ca="1" si="17"/>
        <v>232</v>
      </c>
      <c r="H131" s="2" t="str">
        <f>INDEX('Name &amp; Email id'!C:D,MATCH(D131,'Name &amp; Email id'!C:C,0),2)</f>
        <v>bmorrow@verizon.net</v>
      </c>
      <c r="I131" s="1">
        <v>43885</v>
      </c>
      <c r="J131" s="18" t="s">
        <v>189</v>
      </c>
      <c r="K131" s="19" t="str">
        <f t="shared" ca="1" si="18"/>
        <v>Completed</v>
      </c>
      <c r="L131" s="27" t="str">
        <f t="shared" ca="1" si="19"/>
        <v>Yes</v>
      </c>
    </row>
    <row r="132" spans="1:12" x14ac:dyDescent="0.3">
      <c r="A132" s="2">
        <v>131</v>
      </c>
      <c r="B132" s="10">
        <v>43891</v>
      </c>
      <c r="C132" s="2" t="s">
        <v>151</v>
      </c>
      <c r="D132" s="2" t="s">
        <v>20</v>
      </c>
      <c r="E132" s="1">
        <v>43871</v>
      </c>
      <c r="F132" s="22">
        <f t="shared" ca="1" si="16"/>
        <v>-87</v>
      </c>
      <c r="G132" s="12" t="str">
        <f t="shared" ca="1" si="17"/>
        <v/>
      </c>
      <c r="H132" s="2" t="str">
        <f>INDEX('Name &amp; Email id'!C:D,MATCH(D132,'Name &amp; Email id'!C:C,0),2)</f>
        <v>bartlett@mac.com</v>
      </c>
      <c r="I132" s="1">
        <v>44185</v>
      </c>
      <c r="J132" s="18" t="s">
        <v>189</v>
      </c>
      <c r="K132" s="19" t="str">
        <f t="shared" ca="1" si="18"/>
        <v>Completed</v>
      </c>
      <c r="L132" s="27" t="str">
        <f t="shared" ca="1" si="19"/>
        <v>No</v>
      </c>
    </row>
    <row r="133" spans="1:12" x14ac:dyDescent="0.3">
      <c r="A133" s="2">
        <v>132</v>
      </c>
      <c r="B133" s="10">
        <v>43891</v>
      </c>
      <c r="C133" s="2" t="s">
        <v>152</v>
      </c>
      <c r="D133" s="2" t="s">
        <v>22</v>
      </c>
      <c r="E133" s="1">
        <v>44188</v>
      </c>
      <c r="F133" s="22">
        <f t="shared" ca="1" si="16"/>
        <v>230</v>
      </c>
      <c r="G133" s="12">
        <f t="shared" ca="1" si="17"/>
        <v>230</v>
      </c>
      <c r="H133" s="2" t="str">
        <f>INDEX('Name &amp; Email id'!C:D,MATCH(D133,'Name &amp; Email id'!C:C,0),2)</f>
        <v>aukjan@msn.com</v>
      </c>
      <c r="I133" s="1"/>
      <c r="J133" s="18" t="s">
        <v>191</v>
      </c>
      <c r="K133" s="19" t="str">
        <f t="shared" ca="1" si="18"/>
        <v>Days left 230</v>
      </c>
      <c r="L133" s="27" t="str">
        <f t="shared" ca="1" si="19"/>
        <v/>
      </c>
    </row>
    <row r="134" spans="1:12" x14ac:dyDescent="0.3">
      <c r="A134" s="2">
        <v>133</v>
      </c>
      <c r="B134" s="10">
        <v>43891</v>
      </c>
      <c r="C134" s="2" t="s">
        <v>153</v>
      </c>
      <c r="D134" s="2" t="s">
        <v>24</v>
      </c>
      <c r="E134" s="1">
        <v>43886</v>
      </c>
      <c r="F134" s="22">
        <f t="shared" ca="1" si="16"/>
        <v>-72</v>
      </c>
      <c r="G134" s="12" t="str">
        <f t="shared" ca="1" si="17"/>
        <v/>
      </c>
      <c r="H134" s="2" t="str">
        <f>INDEX('Name &amp; Email id'!C:D,MATCH(D134,'Name &amp; Email id'!C:C,0),2)</f>
        <v>cremonini@att.net</v>
      </c>
      <c r="I134" s="1">
        <v>44192</v>
      </c>
      <c r="J134" s="18" t="s">
        <v>189</v>
      </c>
      <c r="K134" s="19" t="str">
        <f t="shared" ca="1" si="18"/>
        <v>Completed</v>
      </c>
      <c r="L134" s="27" t="str">
        <f t="shared" ca="1" si="19"/>
        <v>No</v>
      </c>
    </row>
    <row r="135" spans="1:12" x14ac:dyDescent="0.3">
      <c r="A135" s="2">
        <v>134</v>
      </c>
      <c r="B135" s="10">
        <v>43891</v>
      </c>
      <c r="C135" s="2" t="s">
        <v>154</v>
      </c>
      <c r="D135" s="2" t="s">
        <v>26</v>
      </c>
      <c r="E135" s="1">
        <v>44192</v>
      </c>
      <c r="F135" s="22">
        <f t="shared" ca="1" si="16"/>
        <v>234</v>
      </c>
      <c r="G135" s="12">
        <f t="shared" ca="1" si="17"/>
        <v>234</v>
      </c>
      <c r="H135" s="2" t="str">
        <f>INDEX('Name &amp; Email id'!C:D,MATCH(D135,'Name &amp; Email id'!C:C,0),2)</f>
        <v>pereinar@yahoo.com</v>
      </c>
      <c r="I135" s="1">
        <v>44189</v>
      </c>
      <c r="J135" s="18" t="s">
        <v>189</v>
      </c>
      <c r="K135" s="19" t="str">
        <f t="shared" ca="1" si="18"/>
        <v>Completed</v>
      </c>
      <c r="L135" s="27" t="str">
        <f t="shared" ca="1" si="19"/>
        <v>Yes</v>
      </c>
    </row>
    <row r="136" spans="1:12" x14ac:dyDescent="0.3">
      <c r="A136" s="2">
        <v>135</v>
      </c>
      <c r="B136" s="10">
        <v>43891</v>
      </c>
      <c r="C136" s="2" t="s">
        <v>155</v>
      </c>
      <c r="D136" s="2" t="s">
        <v>28</v>
      </c>
      <c r="E136" s="1">
        <v>44188</v>
      </c>
      <c r="F136" s="22">
        <f t="shared" ca="1" si="16"/>
        <v>230</v>
      </c>
      <c r="G136" s="12">
        <f t="shared" ca="1" si="17"/>
        <v>230</v>
      </c>
      <c r="H136" s="2" t="str">
        <f>INDEX('Name &amp; Email id'!C:D,MATCH(D136,'Name &amp; Email id'!C:C,0),2)</f>
        <v>mschwartz@att.net</v>
      </c>
      <c r="I136" s="1">
        <v>44175</v>
      </c>
      <c r="J136" s="18" t="s">
        <v>193</v>
      </c>
      <c r="K136" s="19" t="str">
        <f t="shared" ca="1" si="18"/>
        <v>Closed</v>
      </c>
      <c r="L136" s="27" t="str">
        <f t="shared" ca="1" si="19"/>
        <v>Yes</v>
      </c>
    </row>
    <row r="137" spans="1:12" x14ac:dyDescent="0.3">
      <c r="A137" s="2">
        <v>136</v>
      </c>
      <c r="B137" s="10">
        <v>43891</v>
      </c>
      <c r="C137" s="2" t="s">
        <v>156</v>
      </c>
      <c r="D137" s="2" t="s">
        <v>30</v>
      </c>
      <c r="E137" s="1"/>
      <c r="F137" s="22">
        <f t="shared" ca="1" si="16"/>
        <v>-43958</v>
      </c>
      <c r="G137" s="12" t="str">
        <f t="shared" ca="1" si="17"/>
        <v/>
      </c>
      <c r="H137" s="2" t="str">
        <f>INDEX('Name &amp; Email id'!C:D,MATCH(D137,'Name &amp; Email id'!C:C,0),2)</f>
        <v>johnparker@gmail.com</v>
      </c>
      <c r="I137" s="1">
        <v>43886</v>
      </c>
      <c r="J137" s="18" t="s">
        <v>189</v>
      </c>
      <c r="K137" s="19" t="str">
        <f t="shared" ca="1" si="18"/>
        <v>Completed</v>
      </c>
      <c r="L137" s="27" t="str">
        <f t="shared" ca="1" si="19"/>
        <v>No</v>
      </c>
    </row>
    <row r="138" spans="1:12" x14ac:dyDescent="0.3">
      <c r="A138" s="2">
        <v>137</v>
      </c>
      <c r="B138" s="10">
        <v>43891</v>
      </c>
      <c r="C138" s="2" t="s">
        <v>157</v>
      </c>
      <c r="D138" s="2" t="s">
        <v>14</v>
      </c>
      <c r="E138" s="1">
        <v>43876</v>
      </c>
      <c r="F138" s="22">
        <f t="shared" ca="1" si="16"/>
        <v>-82</v>
      </c>
      <c r="G138" s="12" t="str">
        <f t="shared" ca="1" si="17"/>
        <v/>
      </c>
      <c r="H138" s="2" t="str">
        <f>INDEX('Name &amp; Email id'!C:D,MATCH(D138,'Name &amp; Email id'!C:C,0),2)</f>
        <v>isotopian@icloud.com</v>
      </c>
      <c r="I138" s="1">
        <v>44190</v>
      </c>
      <c r="J138" s="18" t="s">
        <v>189</v>
      </c>
      <c r="K138" s="19" t="str">
        <f t="shared" ca="1" si="18"/>
        <v>Completed</v>
      </c>
      <c r="L138" s="27" t="str">
        <f t="shared" ca="1" si="19"/>
        <v>No</v>
      </c>
    </row>
    <row r="139" spans="1:12" x14ac:dyDescent="0.3">
      <c r="A139" s="2">
        <v>138</v>
      </c>
      <c r="B139" s="10">
        <v>43891</v>
      </c>
      <c r="C139" s="2" t="s">
        <v>158</v>
      </c>
      <c r="D139" s="2" t="s">
        <v>16</v>
      </c>
      <c r="E139" s="1">
        <v>44188</v>
      </c>
      <c r="F139" s="22">
        <f t="shared" ca="1" si="16"/>
        <v>230</v>
      </c>
      <c r="G139" s="12">
        <f t="shared" ca="1" si="17"/>
        <v>230</v>
      </c>
      <c r="H139" s="2" t="str">
        <f>INDEX('Name &amp; Email id'!C:D,MATCH(D139,'Name &amp; Email id'!C:C,0),2)</f>
        <v>denism@aol.com</v>
      </c>
      <c r="I139" s="1">
        <v>44192</v>
      </c>
      <c r="J139" s="18" t="s">
        <v>189</v>
      </c>
      <c r="K139" s="19" t="str">
        <f t="shared" ca="1" si="18"/>
        <v>Completed</v>
      </c>
      <c r="L139" s="27" t="str">
        <f t="shared" ca="1" si="19"/>
        <v>No</v>
      </c>
    </row>
    <row r="140" spans="1:12" x14ac:dyDescent="0.3">
      <c r="A140" s="2">
        <v>139</v>
      </c>
      <c r="B140" s="10">
        <v>43891</v>
      </c>
      <c r="C140" s="2" t="s">
        <v>159</v>
      </c>
      <c r="D140" s="2" t="s">
        <v>18</v>
      </c>
      <c r="E140" s="1">
        <v>44192</v>
      </c>
      <c r="F140" s="22">
        <f t="shared" ca="1" si="16"/>
        <v>234</v>
      </c>
      <c r="G140" s="12">
        <f t="shared" ca="1" si="17"/>
        <v>234</v>
      </c>
      <c r="H140" s="2" t="str">
        <f>INDEX('Name &amp; Email id'!C:D,MATCH(D140,'Name &amp; Email id'!C:C,0),2)</f>
        <v>bmorrow@verizon.net</v>
      </c>
      <c r="I140" s="1"/>
      <c r="J140" s="18" t="s">
        <v>191</v>
      </c>
      <c r="K140" s="19" t="str">
        <f t="shared" ca="1" si="18"/>
        <v>Days left 234</v>
      </c>
      <c r="L140" s="27" t="str">
        <f t="shared" ca="1" si="19"/>
        <v/>
      </c>
    </row>
    <row r="141" spans="1:12" x14ac:dyDescent="0.3">
      <c r="A141" s="2">
        <v>140</v>
      </c>
      <c r="B141" s="10">
        <v>43891</v>
      </c>
      <c r="C141" s="2" t="s">
        <v>160</v>
      </c>
      <c r="D141" s="2" t="s">
        <v>20</v>
      </c>
      <c r="E141" s="1">
        <v>44196</v>
      </c>
      <c r="F141" s="22">
        <f t="shared" ca="1" si="16"/>
        <v>238</v>
      </c>
      <c r="G141" s="12">
        <f t="shared" ca="1" si="17"/>
        <v>238</v>
      </c>
      <c r="H141" s="2" t="str">
        <f>INDEX('Name &amp; Email id'!C:D,MATCH(D141,'Name &amp; Email id'!C:C,0),2)</f>
        <v>bartlett@mac.com</v>
      </c>
      <c r="I141" s="1"/>
      <c r="J141" s="18" t="s">
        <v>191</v>
      </c>
      <c r="K141" s="19" t="str">
        <f t="shared" ca="1" si="18"/>
        <v>Days left 238</v>
      </c>
      <c r="L141" s="27" t="str">
        <f t="shared" ca="1" si="19"/>
        <v/>
      </c>
    </row>
    <row r="142" spans="1:12" x14ac:dyDescent="0.3">
      <c r="A142" s="2">
        <v>141</v>
      </c>
      <c r="B142" s="10">
        <v>43891</v>
      </c>
      <c r="C142" s="2" t="s">
        <v>116</v>
      </c>
      <c r="D142" s="2" t="s">
        <v>22</v>
      </c>
      <c r="E142" s="1">
        <v>43951</v>
      </c>
      <c r="F142" s="22">
        <f t="shared" ca="1" si="16"/>
        <v>-7</v>
      </c>
      <c r="G142" s="12" t="str">
        <f t="shared" ca="1" si="17"/>
        <v/>
      </c>
      <c r="H142" s="2" t="str">
        <f>INDEX('Name &amp; Email id'!C:D,MATCH(D142,'Name &amp; Email id'!C:C,0),2)</f>
        <v>aukjan@msn.com</v>
      </c>
      <c r="I142" s="1">
        <v>44183</v>
      </c>
      <c r="J142" s="18" t="s">
        <v>189</v>
      </c>
      <c r="K142" s="19" t="str">
        <f t="shared" ca="1" si="18"/>
        <v>Completed</v>
      </c>
      <c r="L142" s="27" t="str">
        <f t="shared" ca="1" si="19"/>
        <v>No</v>
      </c>
    </row>
    <row r="143" spans="1:12" x14ac:dyDescent="0.3">
      <c r="A143" s="2">
        <v>142</v>
      </c>
      <c r="B143" s="10">
        <v>43891</v>
      </c>
      <c r="C143" s="2" t="s">
        <v>161</v>
      </c>
      <c r="D143" s="2" t="s">
        <v>24</v>
      </c>
      <c r="E143" s="1">
        <v>44185</v>
      </c>
      <c r="F143" s="22">
        <f t="shared" ca="1" si="16"/>
        <v>227</v>
      </c>
      <c r="G143" s="12">
        <f t="shared" ca="1" si="17"/>
        <v>227</v>
      </c>
      <c r="H143" s="2" t="str">
        <f>INDEX('Name &amp; Email id'!C:D,MATCH(D143,'Name &amp; Email id'!C:C,0),2)</f>
        <v>cremonini@att.net</v>
      </c>
      <c r="I143" s="1"/>
      <c r="J143" s="18" t="s">
        <v>191</v>
      </c>
      <c r="K143" s="19" t="str">
        <f t="shared" ca="1" si="18"/>
        <v>Days left 227</v>
      </c>
      <c r="L143" s="27" t="str">
        <f t="shared" ca="1" si="19"/>
        <v/>
      </c>
    </row>
    <row r="144" spans="1:12" x14ac:dyDescent="0.3">
      <c r="A144" s="2">
        <v>143</v>
      </c>
      <c r="B144" s="10">
        <v>43891</v>
      </c>
      <c r="C144" s="2" t="s">
        <v>162</v>
      </c>
      <c r="D144" s="2" t="s">
        <v>26</v>
      </c>
      <c r="E144" s="1">
        <v>43886</v>
      </c>
      <c r="F144" s="22">
        <f t="shared" ca="1" si="16"/>
        <v>-72</v>
      </c>
      <c r="G144" s="12" t="str">
        <f t="shared" ca="1" si="17"/>
        <v/>
      </c>
      <c r="H144" s="2" t="str">
        <f>INDEX('Name &amp; Email id'!C:D,MATCH(D144,'Name &amp; Email id'!C:C,0),2)</f>
        <v>pereinar@yahoo.com</v>
      </c>
      <c r="I144" s="1">
        <v>43867</v>
      </c>
      <c r="J144" s="18" t="s">
        <v>189</v>
      </c>
      <c r="K144" s="19" t="str">
        <f t="shared" ca="1" si="18"/>
        <v>Completed</v>
      </c>
      <c r="L144" s="27" t="str">
        <f t="shared" ca="1" si="19"/>
        <v>Yes</v>
      </c>
    </row>
    <row r="145" spans="1:12" x14ac:dyDescent="0.3">
      <c r="A145" s="2">
        <v>144</v>
      </c>
      <c r="B145" s="10">
        <v>43891</v>
      </c>
      <c r="C145" s="2" t="s">
        <v>163</v>
      </c>
      <c r="D145" s="2" t="s">
        <v>28</v>
      </c>
      <c r="E145" s="1">
        <v>43866</v>
      </c>
      <c r="F145" s="22">
        <f t="shared" ca="1" si="16"/>
        <v>-92</v>
      </c>
      <c r="G145" s="12" t="str">
        <f t="shared" ca="1" si="17"/>
        <v/>
      </c>
      <c r="H145" s="2" t="str">
        <f>INDEX('Name &amp; Email id'!C:D,MATCH(D145,'Name &amp; Email id'!C:C,0),2)</f>
        <v>mschwartz@att.net</v>
      </c>
      <c r="I145" s="1">
        <v>43840</v>
      </c>
      <c r="J145" s="18" t="s">
        <v>189</v>
      </c>
      <c r="K145" s="19" t="str">
        <f t="shared" ca="1" si="18"/>
        <v>Completed</v>
      </c>
      <c r="L145" s="27" t="str">
        <f t="shared" ca="1" si="19"/>
        <v>Yes</v>
      </c>
    </row>
    <row r="146" spans="1:12" x14ac:dyDescent="0.3">
      <c r="A146" s="2">
        <v>145</v>
      </c>
      <c r="B146" s="10">
        <v>43891</v>
      </c>
      <c r="C146" s="2" t="s">
        <v>164</v>
      </c>
      <c r="D146" s="2" t="s">
        <v>30</v>
      </c>
      <c r="E146" s="1">
        <v>43845</v>
      </c>
      <c r="F146" s="22">
        <f t="shared" ca="1" si="16"/>
        <v>-113</v>
      </c>
      <c r="G146" s="12" t="str">
        <f t="shared" ca="1" si="17"/>
        <v/>
      </c>
      <c r="H146" s="2" t="str">
        <f>INDEX('Name &amp; Email id'!C:D,MATCH(D146,'Name &amp; Email id'!C:C,0),2)</f>
        <v>johnparker@gmail.com</v>
      </c>
      <c r="I146" s="1">
        <v>43845</v>
      </c>
      <c r="J146" s="18" t="s">
        <v>189</v>
      </c>
      <c r="K146" s="19" t="str">
        <f t="shared" ca="1" si="18"/>
        <v>Completed</v>
      </c>
      <c r="L146" s="27" t="str">
        <f t="shared" ca="1" si="19"/>
        <v>No</v>
      </c>
    </row>
    <row r="147" spans="1:12" x14ac:dyDescent="0.3">
      <c r="A147" s="2">
        <v>146</v>
      </c>
      <c r="B147" s="10">
        <v>43891</v>
      </c>
      <c r="C147" s="2" t="s">
        <v>165</v>
      </c>
      <c r="D147" s="2" t="s">
        <v>14</v>
      </c>
      <c r="E147" s="1">
        <v>43850</v>
      </c>
      <c r="F147" s="22">
        <f t="shared" ca="1" si="16"/>
        <v>-108</v>
      </c>
      <c r="G147" s="12" t="str">
        <f t="shared" ca="1" si="17"/>
        <v/>
      </c>
      <c r="H147" s="2" t="str">
        <f>INDEX('Name &amp; Email id'!C:D,MATCH(D147,'Name &amp; Email id'!C:C,0),2)</f>
        <v>isotopian@icloud.com</v>
      </c>
      <c r="I147" s="1">
        <v>43869</v>
      </c>
      <c r="J147" s="18" t="s">
        <v>189</v>
      </c>
      <c r="K147" s="19" t="str">
        <f t="shared" ca="1" si="18"/>
        <v>Completed</v>
      </c>
      <c r="L147" s="27" t="str">
        <f t="shared" ca="1" si="19"/>
        <v>No</v>
      </c>
    </row>
    <row r="148" spans="1:12" x14ac:dyDescent="0.3">
      <c r="A148" s="2">
        <v>147</v>
      </c>
      <c r="B148" s="10">
        <v>43891</v>
      </c>
      <c r="C148" s="2" t="s">
        <v>166</v>
      </c>
      <c r="D148" s="2" t="s">
        <v>16</v>
      </c>
      <c r="E148" s="1">
        <v>43867</v>
      </c>
      <c r="F148" s="22">
        <f t="shared" ca="1" si="16"/>
        <v>-91</v>
      </c>
      <c r="G148" s="12" t="str">
        <f t="shared" ca="1" si="17"/>
        <v/>
      </c>
      <c r="H148" s="2" t="str">
        <f>INDEX('Name &amp; Email id'!C:D,MATCH(D148,'Name &amp; Email id'!C:C,0),2)</f>
        <v>denism@aol.com</v>
      </c>
      <c r="I148" s="1">
        <v>44175</v>
      </c>
      <c r="J148" s="18" t="s">
        <v>193</v>
      </c>
      <c r="K148" s="19" t="str">
        <f t="shared" ca="1" si="18"/>
        <v>Closed</v>
      </c>
      <c r="L148" s="27" t="str">
        <f t="shared" ca="1" si="19"/>
        <v>No</v>
      </c>
    </row>
    <row r="149" spans="1:12" x14ac:dyDescent="0.3">
      <c r="A149" s="2">
        <v>148</v>
      </c>
      <c r="B149" s="10">
        <v>43891</v>
      </c>
      <c r="C149" s="2" t="s">
        <v>167</v>
      </c>
      <c r="D149" s="2" t="s">
        <v>18</v>
      </c>
      <c r="E149" s="1"/>
      <c r="F149" s="22">
        <f t="shared" ca="1" si="16"/>
        <v>-43958</v>
      </c>
      <c r="G149" s="12" t="str">
        <f t="shared" ca="1" si="17"/>
        <v/>
      </c>
      <c r="H149" s="2" t="str">
        <f>INDEX('Name &amp; Email id'!C:D,MATCH(D149,'Name &amp; Email id'!C:C,0),2)</f>
        <v>bmorrow@verizon.net</v>
      </c>
      <c r="I149" s="1">
        <v>44175</v>
      </c>
      <c r="J149" s="18" t="s">
        <v>193</v>
      </c>
      <c r="K149" s="19" t="str">
        <f t="shared" ca="1" si="18"/>
        <v>Closed</v>
      </c>
      <c r="L149" s="27" t="str">
        <f t="shared" ca="1" si="19"/>
        <v>No</v>
      </c>
    </row>
    <row r="150" spans="1:12" x14ac:dyDescent="0.3">
      <c r="A150" s="2">
        <v>149</v>
      </c>
      <c r="B150" s="10">
        <v>43891</v>
      </c>
      <c r="C150" s="2" t="s">
        <v>168</v>
      </c>
      <c r="D150" s="2" t="s">
        <v>20</v>
      </c>
      <c r="E150" s="1"/>
      <c r="F150" s="22">
        <f t="shared" ca="1" si="16"/>
        <v>-43958</v>
      </c>
      <c r="G150" s="12" t="str">
        <f t="shared" ca="1" si="17"/>
        <v/>
      </c>
      <c r="H150" s="2" t="str">
        <f>INDEX('Name &amp; Email id'!C:D,MATCH(D150,'Name &amp; Email id'!C:C,0),2)</f>
        <v>bartlett@mac.com</v>
      </c>
      <c r="I150" s="1">
        <v>44175</v>
      </c>
      <c r="J150" s="18" t="s">
        <v>193</v>
      </c>
      <c r="K150" s="19" t="str">
        <f t="shared" ca="1" si="18"/>
        <v>Closed</v>
      </c>
      <c r="L150" s="27" t="str">
        <f t="shared" ca="1" si="19"/>
        <v>No</v>
      </c>
    </row>
    <row r="151" spans="1:12" x14ac:dyDescent="0.3">
      <c r="A151" s="2">
        <v>150</v>
      </c>
      <c r="B151" s="10">
        <v>43891</v>
      </c>
      <c r="C151" s="2" t="s">
        <v>169</v>
      </c>
      <c r="D151" s="2" t="s">
        <v>22</v>
      </c>
      <c r="E151" s="1"/>
      <c r="F151" s="22">
        <f t="shared" ca="1" si="16"/>
        <v>-43958</v>
      </c>
      <c r="G151" s="12" t="str">
        <f t="shared" ca="1" si="17"/>
        <v/>
      </c>
      <c r="H151" s="2" t="str">
        <f>INDEX('Name &amp; Email id'!C:D,MATCH(D151,'Name &amp; Email id'!C:C,0),2)</f>
        <v>aukjan@msn.com</v>
      </c>
      <c r="I151" s="1">
        <v>44175</v>
      </c>
      <c r="J151" s="18" t="s">
        <v>193</v>
      </c>
      <c r="K151" s="19" t="str">
        <f t="shared" ca="1" si="18"/>
        <v>Closed</v>
      </c>
      <c r="L151" s="27" t="str">
        <f t="shared" ca="1" si="19"/>
        <v>No</v>
      </c>
    </row>
    <row r="152" spans="1:12" x14ac:dyDescent="0.3">
      <c r="A152" s="2">
        <v>151</v>
      </c>
      <c r="B152" s="10">
        <v>43891</v>
      </c>
      <c r="C152" s="2" t="s">
        <v>170</v>
      </c>
      <c r="D152" s="2" t="s">
        <v>24</v>
      </c>
      <c r="E152" s="1"/>
      <c r="F152" s="22">
        <f t="shared" ca="1" si="16"/>
        <v>-43958</v>
      </c>
      <c r="G152" s="12" t="str">
        <f t="shared" ca="1" si="17"/>
        <v/>
      </c>
      <c r="H152" s="2" t="str">
        <f>INDEX('Name &amp; Email id'!C:D,MATCH(D152,'Name &amp; Email id'!C:C,0),2)</f>
        <v>cremonini@att.net</v>
      </c>
      <c r="I152" s="1">
        <v>43845</v>
      </c>
      <c r="J152" s="18" t="s">
        <v>189</v>
      </c>
      <c r="K152" s="19" t="str">
        <f t="shared" ca="1" si="18"/>
        <v>Completed</v>
      </c>
      <c r="L152" s="27" t="str">
        <f t="shared" ca="1" si="19"/>
        <v>No</v>
      </c>
    </row>
    <row r="153" spans="1:12" x14ac:dyDescent="0.3">
      <c r="A153" s="2">
        <v>152</v>
      </c>
      <c r="B153" s="10">
        <v>43891</v>
      </c>
      <c r="C153" s="2" t="s">
        <v>171</v>
      </c>
      <c r="D153" s="2" t="s">
        <v>26</v>
      </c>
      <c r="E153" s="1">
        <v>43860</v>
      </c>
      <c r="F153" s="22">
        <f t="shared" ca="1" si="16"/>
        <v>-98</v>
      </c>
      <c r="G153" s="12" t="str">
        <f t="shared" ca="1" si="17"/>
        <v/>
      </c>
      <c r="H153" s="2" t="str">
        <f>INDEX('Name &amp; Email id'!C:D,MATCH(D153,'Name &amp; Email id'!C:C,0),2)</f>
        <v>pereinar@yahoo.com</v>
      </c>
      <c r="I153" s="1">
        <v>44175</v>
      </c>
      <c r="J153" s="18" t="s">
        <v>193</v>
      </c>
      <c r="K153" s="19" t="str">
        <f t="shared" ca="1" si="18"/>
        <v>Closed</v>
      </c>
      <c r="L153" s="27" t="str">
        <f t="shared" ca="1" si="19"/>
        <v>No</v>
      </c>
    </row>
    <row r="154" spans="1:12" x14ac:dyDescent="0.3">
      <c r="A154" s="2">
        <v>153</v>
      </c>
      <c r="B154" s="10">
        <v>43891</v>
      </c>
      <c r="C154" s="2" t="s">
        <v>172</v>
      </c>
      <c r="D154" s="2" t="s">
        <v>28</v>
      </c>
      <c r="E154" s="1"/>
      <c r="F154" s="22">
        <f t="shared" ca="1" si="16"/>
        <v>-43958</v>
      </c>
      <c r="G154" s="12" t="str">
        <f t="shared" ca="1" si="17"/>
        <v/>
      </c>
      <c r="H154" s="2" t="str">
        <f>INDEX('Name &amp; Email id'!C:D,MATCH(D154,'Name &amp; Email id'!C:C,0),2)</f>
        <v>mschwartz@att.net</v>
      </c>
      <c r="I154" s="1">
        <v>43837</v>
      </c>
      <c r="J154" s="18" t="s">
        <v>189</v>
      </c>
      <c r="K154" s="19" t="str">
        <f t="shared" ca="1" si="18"/>
        <v>Completed</v>
      </c>
      <c r="L154" s="27" t="str">
        <f t="shared" ca="1" si="19"/>
        <v>No</v>
      </c>
    </row>
    <row r="155" spans="1:12" x14ac:dyDescent="0.3">
      <c r="A155" s="2">
        <v>154</v>
      </c>
      <c r="B155" s="10">
        <v>43891</v>
      </c>
      <c r="C155" s="2" t="s">
        <v>173</v>
      </c>
      <c r="D155" s="2" t="s">
        <v>30</v>
      </c>
      <c r="E155" s="1">
        <v>43840</v>
      </c>
      <c r="F155" s="22">
        <f t="shared" ca="1" si="16"/>
        <v>-118</v>
      </c>
      <c r="G155" s="12">
        <f t="shared" ca="1" si="17"/>
        <v>0</v>
      </c>
      <c r="H155" s="2" t="str">
        <f>INDEX('Name &amp; Email id'!C:D,MATCH(D155,'Name &amp; Email id'!C:C,0),2)</f>
        <v>johnparker@gmail.com</v>
      </c>
      <c r="I155" s="1"/>
      <c r="J155" s="18" t="s">
        <v>191</v>
      </c>
      <c r="K155" s="19" t="str">
        <f t="shared" ca="1" si="18"/>
        <v>Overdue</v>
      </c>
      <c r="L155" s="27" t="str">
        <f t="shared" ca="1" si="19"/>
        <v/>
      </c>
    </row>
    <row r="156" spans="1:12" x14ac:dyDescent="0.3">
      <c r="A156" s="2">
        <v>155</v>
      </c>
      <c r="B156" s="10">
        <v>43891</v>
      </c>
      <c r="C156" s="2" t="s">
        <v>174</v>
      </c>
      <c r="D156" s="2" t="s">
        <v>14</v>
      </c>
      <c r="E156" s="1"/>
      <c r="F156" s="22">
        <f t="shared" ca="1" si="16"/>
        <v>-43958</v>
      </c>
      <c r="G156" s="12" t="str">
        <f t="shared" ca="1" si="17"/>
        <v/>
      </c>
      <c r="H156" s="2" t="str">
        <f>INDEX('Name &amp; Email id'!C:D,MATCH(D156,'Name &amp; Email id'!C:C,0),2)</f>
        <v>isotopian@icloud.com</v>
      </c>
      <c r="I156" s="1">
        <v>43850</v>
      </c>
      <c r="J156" s="18" t="s">
        <v>189</v>
      </c>
      <c r="K156" s="19" t="str">
        <f t="shared" ca="1" si="18"/>
        <v>Completed</v>
      </c>
      <c r="L156" s="27" t="str">
        <f t="shared" ca="1" si="19"/>
        <v>No</v>
      </c>
    </row>
    <row r="157" spans="1:12" x14ac:dyDescent="0.3">
      <c r="A157" s="2">
        <v>156</v>
      </c>
      <c r="B157" s="10">
        <v>43891</v>
      </c>
      <c r="C157" s="2" t="s">
        <v>175</v>
      </c>
      <c r="D157" s="2" t="s">
        <v>16</v>
      </c>
      <c r="E157" s="1">
        <v>43861</v>
      </c>
      <c r="F157" s="22">
        <f t="shared" ca="1" si="16"/>
        <v>-97</v>
      </c>
      <c r="G157" s="12" t="str">
        <f t="shared" ca="1" si="17"/>
        <v/>
      </c>
      <c r="H157" s="2" t="str">
        <f>INDEX('Name &amp; Email id'!C:D,MATCH(D157,'Name &amp; Email id'!C:C,0),2)</f>
        <v>denism@aol.com</v>
      </c>
      <c r="I157" s="1">
        <v>43882</v>
      </c>
      <c r="J157" s="18" t="s">
        <v>189</v>
      </c>
      <c r="K157" s="19" t="str">
        <f t="shared" ca="1" si="18"/>
        <v>Completed</v>
      </c>
      <c r="L157" s="27" t="str">
        <f t="shared" ca="1" si="19"/>
        <v>No</v>
      </c>
    </row>
    <row r="158" spans="1:12" x14ac:dyDescent="0.3">
      <c r="A158" s="2">
        <v>157</v>
      </c>
      <c r="B158" s="10">
        <v>43891</v>
      </c>
      <c r="C158" s="2" t="s">
        <v>176</v>
      </c>
      <c r="D158" s="2" t="s">
        <v>18</v>
      </c>
      <c r="E158" s="1">
        <v>43861</v>
      </c>
      <c r="F158" s="22">
        <f t="shared" ca="1" si="16"/>
        <v>-97</v>
      </c>
      <c r="G158" s="12" t="str">
        <f t="shared" ca="1" si="17"/>
        <v/>
      </c>
      <c r="H158" s="2" t="str">
        <f>INDEX('Name &amp; Email id'!C:D,MATCH(D158,'Name &amp; Email id'!C:C,0),2)</f>
        <v>bmorrow@verizon.net</v>
      </c>
      <c r="I158" s="1">
        <v>43855</v>
      </c>
      <c r="J158" s="18" t="s">
        <v>189</v>
      </c>
      <c r="K158" s="19" t="str">
        <f t="shared" ca="1" si="18"/>
        <v>Completed</v>
      </c>
      <c r="L158" s="27" t="str">
        <f t="shared" ca="1" si="19"/>
        <v>Yes</v>
      </c>
    </row>
    <row r="159" spans="1:12" x14ac:dyDescent="0.3">
      <c r="A159" s="2">
        <v>158</v>
      </c>
      <c r="B159" s="10">
        <v>43891</v>
      </c>
      <c r="C159" s="2" t="s">
        <v>177</v>
      </c>
      <c r="D159" s="2" t="s">
        <v>20</v>
      </c>
      <c r="E159" s="1">
        <v>43861</v>
      </c>
      <c r="F159" s="22">
        <f t="shared" ca="1" si="16"/>
        <v>-97</v>
      </c>
      <c r="G159" s="12" t="str">
        <f t="shared" ca="1" si="17"/>
        <v/>
      </c>
      <c r="H159" s="2" t="str">
        <f>INDEX('Name &amp; Email id'!C:D,MATCH(D159,'Name &amp; Email id'!C:C,0),2)</f>
        <v>bartlett@mac.com</v>
      </c>
      <c r="I159" s="1">
        <v>43855</v>
      </c>
      <c r="J159" s="18" t="s">
        <v>189</v>
      </c>
      <c r="K159" s="19" t="str">
        <f t="shared" ca="1" si="18"/>
        <v>Completed</v>
      </c>
      <c r="L159" s="27" t="str">
        <f t="shared" ca="1" si="19"/>
        <v>Yes</v>
      </c>
    </row>
    <row r="160" spans="1:12" x14ac:dyDescent="0.3">
      <c r="A160" s="2">
        <v>159</v>
      </c>
      <c r="B160" s="10">
        <v>43891</v>
      </c>
      <c r="C160" s="2" t="s">
        <v>178</v>
      </c>
      <c r="D160" s="2" t="s">
        <v>22</v>
      </c>
      <c r="E160" s="1">
        <v>43861</v>
      </c>
      <c r="F160" s="22">
        <f t="shared" ca="1" si="16"/>
        <v>-97</v>
      </c>
      <c r="G160" s="12">
        <f t="shared" ca="1" si="17"/>
        <v>0</v>
      </c>
      <c r="H160" s="2" t="str">
        <f>INDEX('Name &amp; Email id'!C:D,MATCH(D160,'Name &amp; Email id'!C:C,0),2)</f>
        <v>aukjan@msn.com</v>
      </c>
      <c r="I160" s="1"/>
      <c r="J160" s="18" t="s">
        <v>191</v>
      </c>
      <c r="K160" s="19" t="str">
        <f t="shared" ca="1" si="18"/>
        <v>Overdue</v>
      </c>
      <c r="L160" s="27" t="str">
        <f t="shared" ca="1" si="19"/>
        <v/>
      </c>
    </row>
    <row r="161" spans="1:12" x14ac:dyDescent="0.3">
      <c r="A161" s="2">
        <v>160</v>
      </c>
      <c r="B161" s="10">
        <v>43891</v>
      </c>
      <c r="C161" s="2" t="s">
        <v>179</v>
      </c>
      <c r="D161" s="2" t="s">
        <v>24</v>
      </c>
      <c r="E161" s="1">
        <v>43845</v>
      </c>
      <c r="F161" s="22">
        <f t="shared" ca="1" si="16"/>
        <v>-113</v>
      </c>
      <c r="G161" s="12" t="str">
        <f t="shared" ca="1" si="17"/>
        <v/>
      </c>
      <c r="H161" s="2" t="str">
        <f>INDEX('Name &amp; Email id'!C:D,MATCH(D161,'Name &amp; Email id'!C:C,0),2)</f>
        <v>cremonini@att.net</v>
      </c>
      <c r="I161" s="1">
        <v>44175</v>
      </c>
      <c r="J161" s="18" t="s">
        <v>189</v>
      </c>
      <c r="K161" s="19" t="str">
        <f t="shared" ca="1" si="18"/>
        <v>Completed</v>
      </c>
      <c r="L161" s="27" t="str">
        <f t="shared" ca="1" si="19"/>
        <v>No</v>
      </c>
    </row>
    <row r="162" spans="1:12" x14ac:dyDescent="0.3">
      <c r="A162" s="2">
        <v>161</v>
      </c>
      <c r="B162" s="10">
        <v>43891</v>
      </c>
      <c r="C162" s="2" t="s">
        <v>180</v>
      </c>
      <c r="D162" s="2" t="s">
        <v>26</v>
      </c>
      <c r="E162" s="1">
        <v>43886</v>
      </c>
      <c r="F162" s="22">
        <f t="shared" ref="F162:F170" ca="1" si="20">$E162-TODAY()</f>
        <v>-72</v>
      </c>
      <c r="G162" s="12" t="str">
        <f t="shared" ref="G162:G169" ca="1" si="21">IF(K162="Overdue",0,IF(F162&lt;0,"",F162))</f>
        <v/>
      </c>
      <c r="H162" s="2" t="str">
        <f>INDEX('Name &amp; Email id'!C:D,MATCH(D162,'Name &amp; Email id'!C:C,0),2)</f>
        <v>pereinar@yahoo.com</v>
      </c>
      <c r="I162" s="1">
        <v>43886</v>
      </c>
      <c r="J162" s="18" t="s">
        <v>189</v>
      </c>
      <c r="K162" s="19" t="str">
        <f t="shared" ref="K162:K170" ca="1" si="22">IF($J162="D","Completed",IF($J162="C","Closed",IF(AND($J162="W",TODAY()&lt;$E162),"Days left "&amp;E162-TODAY(),IF(AND($J162="W",TODAY()&gt;=E162),"Overdue"," "))))</f>
        <v>Completed</v>
      </c>
      <c r="L162" s="27" t="str">
        <f t="shared" ref="L162:L170" ca="1" si="23">IF(OR($K162="Completed",$K162="Closed"),IF($I162&lt;E162,"Yes","No"),"")</f>
        <v>No</v>
      </c>
    </row>
    <row r="163" spans="1:12" x14ac:dyDescent="0.3">
      <c r="A163" s="2">
        <v>162</v>
      </c>
      <c r="B163" s="10">
        <v>43891</v>
      </c>
      <c r="C163" s="2" t="s">
        <v>181</v>
      </c>
      <c r="D163" s="2" t="s">
        <v>28</v>
      </c>
      <c r="E163" s="1">
        <v>43886</v>
      </c>
      <c r="F163" s="22">
        <f t="shared" ca="1" si="20"/>
        <v>-72</v>
      </c>
      <c r="G163" s="12" t="str">
        <f t="shared" ca="1" si="21"/>
        <v/>
      </c>
      <c r="H163" s="2" t="str">
        <f>INDEX('Name &amp; Email id'!C:D,MATCH(D163,'Name &amp; Email id'!C:C,0),2)</f>
        <v>mschwartz@att.net</v>
      </c>
      <c r="I163" s="1">
        <v>43869</v>
      </c>
      <c r="J163" s="18" t="s">
        <v>189</v>
      </c>
      <c r="K163" s="19" t="str">
        <f t="shared" ca="1" si="22"/>
        <v>Completed</v>
      </c>
      <c r="L163" s="27" t="str">
        <f t="shared" ca="1" si="23"/>
        <v>Yes</v>
      </c>
    </row>
    <row r="164" spans="1:12" x14ac:dyDescent="0.3">
      <c r="A164" s="2">
        <v>163</v>
      </c>
      <c r="B164" s="10">
        <v>43891</v>
      </c>
      <c r="C164" s="2" t="s">
        <v>182</v>
      </c>
      <c r="D164" s="2" t="s">
        <v>30</v>
      </c>
      <c r="E164" s="1">
        <v>43869</v>
      </c>
      <c r="F164" s="22">
        <f t="shared" ca="1" si="20"/>
        <v>-89</v>
      </c>
      <c r="G164" s="12" t="str">
        <f t="shared" ca="1" si="21"/>
        <v/>
      </c>
      <c r="H164" s="2" t="str">
        <f>INDEX('Name &amp; Email id'!C:D,MATCH(D164,'Name &amp; Email id'!C:C,0),2)</f>
        <v>johnparker@gmail.com</v>
      </c>
      <c r="I164" s="1">
        <v>43885</v>
      </c>
      <c r="J164" s="18" t="s">
        <v>189</v>
      </c>
      <c r="K164" s="19" t="str">
        <f t="shared" ca="1" si="22"/>
        <v>Completed</v>
      </c>
      <c r="L164" s="27" t="str">
        <f t="shared" ca="1" si="23"/>
        <v>No</v>
      </c>
    </row>
    <row r="165" spans="1:12" x14ac:dyDescent="0.3">
      <c r="A165" s="2">
        <v>164</v>
      </c>
      <c r="B165" s="10">
        <v>43891</v>
      </c>
      <c r="C165" s="2" t="s">
        <v>183</v>
      </c>
      <c r="D165" s="2" t="s">
        <v>14</v>
      </c>
      <c r="E165" s="1">
        <v>43884</v>
      </c>
      <c r="F165" s="22">
        <f t="shared" ca="1" si="20"/>
        <v>-74</v>
      </c>
      <c r="G165" s="12" t="str">
        <f t="shared" ca="1" si="21"/>
        <v/>
      </c>
      <c r="H165" s="2" t="str">
        <f>INDEX('Name &amp; Email id'!C:D,MATCH(D165,'Name &amp; Email id'!C:C,0),2)</f>
        <v>isotopian@icloud.com</v>
      </c>
      <c r="I165" s="1">
        <v>43886</v>
      </c>
      <c r="J165" s="18" t="s">
        <v>189</v>
      </c>
      <c r="K165" s="19" t="str">
        <f t="shared" ca="1" si="22"/>
        <v>Completed</v>
      </c>
      <c r="L165" s="27" t="str">
        <f t="shared" ca="1" si="23"/>
        <v>No</v>
      </c>
    </row>
    <row r="166" spans="1:12" x14ac:dyDescent="0.3">
      <c r="A166" s="2">
        <v>165</v>
      </c>
      <c r="B166" s="10">
        <v>43891</v>
      </c>
      <c r="C166" s="2" t="s">
        <v>184</v>
      </c>
      <c r="D166" s="2" t="s">
        <v>16</v>
      </c>
      <c r="E166" s="1">
        <v>43886</v>
      </c>
      <c r="F166" s="22">
        <f t="shared" ca="1" si="20"/>
        <v>-72</v>
      </c>
      <c r="G166" s="12" t="str">
        <f t="shared" ca="1" si="21"/>
        <v/>
      </c>
      <c r="H166" s="2" t="str">
        <f>INDEX('Name &amp; Email id'!C:D,MATCH(D166,'Name &amp; Email id'!C:C,0),2)</f>
        <v>denism@aol.com</v>
      </c>
      <c r="I166" s="1">
        <v>43885</v>
      </c>
      <c r="J166" s="18" t="s">
        <v>189</v>
      </c>
      <c r="K166" s="19" t="str">
        <f t="shared" ca="1" si="22"/>
        <v>Completed</v>
      </c>
      <c r="L166" s="27" t="str">
        <f t="shared" ca="1" si="23"/>
        <v>Yes</v>
      </c>
    </row>
    <row r="167" spans="1:12" x14ac:dyDescent="0.3">
      <c r="A167" s="2">
        <v>166</v>
      </c>
      <c r="B167" s="10">
        <v>43891</v>
      </c>
      <c r="C167" s="2" t="s">
        <v>185</v>
      </c>
      <c r="D167" s="2" t="s">
        <v>18</v>
      </c>
      <c r="E167" s="1">
        <v>43886</v>
      </c>
      <c r="F167" s="22">
        <f t="shared" ca="1" si="20"/>
        <v>-72</v>
      </c>
      <c r="G167" s="12" t="str">
        <f t="shared" ca="1" si="21"/>
        <v/>
      </c>
      <c r="H167" s="2" t="str">
        <f>INDEX('Name &amp; Email id'!C:D,MATCH(D167,'Name &amp; Email id'!C:C,0),2)</f>
        <v>bmorrow@verizon.net</v>
      </c>
      <c r="I167" s="1">
        <v>43880</v>
      </c>
      <c r="J167" s="18" t="s">
        <v>189</v>
      </c>
      <c r="K167" s="19" t="str">
        <f t="shared" ca="1" si="22"/>
        <v>Completed</v>
      </c>
      <c r="L167" s="27" t="str">
        <f t="shared" ca="1" si="23"/>
        <v>Yes</v>
      </c>
    </row>
    <row r="168" spans="1:12" x14ac:dyDescent="0.3">
      <c r="A168" s="2">
        <v>167</v>
      </c>
      <c r="B168" s="10">
        <v>43891</v>
      </c>
      <c r="C168" s="2" t="s">
        <v>186</v>
      </c>
      <c r="D168" s="2" t="s">
        <v>20</v>
      </c>
      <c r="E168" s="1">
        <v>43881</v>
      </c>
      <c r="F168" s="22">
        <f t="shared" ca="1" si="20"/>
        <v>-77</v>
      </c>
      <c r="G168" s="12" t="str">
        <f t="shared" ca="1" si="21"/>
        <v/>
      </c>
      <c r="H168" s="2" t="str">
        <f>INDEX('Name &amp; Email id'!C:D,MATCH(D168,'Name &amp; Email id'!C:C,0),2)</f>
        <v>bartlett@mac.com</v>
      </c>
      <c r="I168" s="1">
        <v>43886</v>
      </c>
      <c r="J168" s="18" t="s">
        <v>189</v>
      </c>
      <c r="K168" s="19" t="str">
        <f t="shared" ca="1" si="22"/>
        <v>Completed</v>
      </c>
      <c r="L168" s="27" t="str">
        <f t="shared" ca="1" si="23"/>
        <v>No</v>
      </c>
    </row>
    <row r="169" spans="1:12" x14ac:dyDescent="0.3">
      <c r="A169" s="2">
        <v>168</v>
      </c>
      <c r="B169" s="10">
        <v>43891</v>
      </c>
      <c r="C169" s="2" t="s">
        <v>187</v>
      </c>
      <c r="D169" s="2" t="s">
        <v>22</v>
      </c>
      <c r="E169" s="1">
        <v>43890</v>
      </c>
      <c r="F169" s="22">
        <f t="shared" ca="1" si="20"/>
        <v>-68</v>
      </c>
      <c r="G169" s="12" t="str">
        <f t="shared" ca="1" si="21"/>
        <v/>
      </c>
      <c r="H169" s="2" t="str">
        <f>INDEX('Name &amp; Email id'!C:D,MATCH(D169,'Name &amp; Email id'!C:C,0),2)</f>
        <v>aukjan@msn.com</v>
      </c>
      <c r="I169" s="1">
        <v>43886</v>
      </c>
      <c r="J169" s="18" t="s">
        <v>189</v>
      </c>
      <c r="K169" s="19" t="str">
        <f t="shared" ca="1" si="22"/>
        <v>Completed</v>
      </c>
      <c r="L169" s="27" t="str">
        <f t="shared" ca="1" si="23"/>
        <v>Yes</v>
      </c>
    </row>
    <row r="170" spans="1:12" x14ac:dyDescent="0.3">
      <c r="A170" s="36">
        <v>169</v>
      </c>
      <c r="B170" s="9">
        <v>43956</v>
      </c>
      <c r="C170" s="36" t="s">
        <v>216</v>
      </c>
      <c r="D170" s="36" t="s">
        <v>16</v>
      </c>
      <c r="E170" s="3">
        <v>43961</v>
      </c>
      <c r="F170" s="22">
        <f t="shared" ca="1" si="20"/>
        <v>3</v>
      </c>
      <c r="G170" s="12">
        <f t="shared" ref="G170" ca="1" si="24">IF(K170="Overdue",0,IF(F170&lt;0,"",F170))</f>
        <v>3</v>
      </c>
      <c r="H170" s="2" t="str">
        <f>INDEX('Name &amp; Email id'!C:D,MATCH(D170,'Name &amp; Email id'!C:C,0),2)</f>
        <v>denism@aol.com</v>
      </c>
      <c r="I170" s="2"/>
      <c r="J170" s="18" t="s">
        <v>191</v>
      </c>
      <c r="K170" s="19" t="str">
        <f t="shared" ca="1" si="22"/>
        <v>Days left 3</v>
      </c>
      <c r="L170" s="27" t="str">
        <f t="shared" ca="1" si="23"/>
        <v/>
      </c>
    </row>
  </sheetData>
  <autoFilter ref="A1:L170" xr:uid="{9DA5F404-1308-4443-8B4E-8230B023EEBA}"/>
  <conditionalFormatting sqref="J2:J170">
    <cfRule type="notContainsBlanks" dxfId="10" priority="12">
      <formula>LEN(TRIM(J2))&gt;0</formula>
    </cfRule>
  </conditionalFormatting>
  <conditionalFormatting sqref="K1:K1048576">
    <cfRule type="containsText" dxfId="9" priority="7" operator="containsText" text="Closed">
      <formula>NOT(ISERROR(SEARCH("Closed",K1)))</formula>
    </cfRule>
    <cfRule type="containsText" dxfId="8" priority="8" operator="containsText" text="Days left ">
      <formula>NOT(ISERROR(SEARCH("Days left ",K1)))</formula>
    </cfRule>
    <cfRule type="containsText" dxfId="7" priority="10" operator="containsText" text="Overdue">
      <formula>NOT(ISERROR(SEARCH("Overdue",K1)))</formula>
    </cfRule>
    <cfRule type="containsText" dxfId="6" priority="11" operator="containsText" text="Completed">
      <formula>NOT(ISERROR(SEARCH("Completed",K1)))</formula>
    </cfRule>
  </conditionalFormatting>
  <conditionalFormatting sqref="L1">
    <cfRule type="containsText" dxfId="5" priority="3" operator="containsText" text="Closed">
      <formula>NOT(ISERROR(SEARCH("Closed",L1)))</formula>
    </cfRule>
    <cfRule type="containsText" dxfId="4" priority="4" operator="containsText" text="Days left ">
      <formula>NOT(ISERROR(SEARCH("Days left ",L1)))</formula>
    </cfRule>
    <cfRule type="containsText" dxfId="3" priority="5" operator="containsText" text="Overdue">
      <formula>NOT(ISERROR(SEARCH("Overdue",L1)))</formula>
    </cfRule>
    <cfRule type="containsText" dxfId="2" priority="6" operator="containsText" text="Completed">
      <formula>NOT(ISERROR(SEARCH("Completed",L1)))</formula>
    </cfRule>
  </conditionalFormatting>
  <conditionalFormatting sqref="I2:I169">
    <cfRule type="notContainsBlanks" dxfId="1" priority="1">
      <formula>LEN(TRIM(I2))&gt;0</formula>
    </cfRule>
  </conditionalFormatting>
  <dataValidations disablePrompts="1" count="1">
    <dataValidation type="list" allowBlank="1" showInputMessage="1" showErrorMessage="1" sqref="J2:J170" xr:uid="{BEE2B658-9CFD-4FA2-848A-613DD08CC689}">
      <formula1>$O$1:$O$3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717A9-C348-45B7-A1FE-0991C7742E10}">
  <sheetPr codeName="Sheet3"/>
  <dimension ref="C1:K16"/>
  <sheetViews>
    <sheetView workbookViewId="0"/>
  </sheetViews>
  <sheetFormatPr defaultRowHeight="14.4" x14ac:dyDescent="0.3"/>
  <cols>
    <col min="3" max="3" width="17.5546875" bestFit="1" customWidth="1"/>
    <col min="4" max="4" width="24.109375" bestFit="1" customWidth="1"/>
  </cols>
  <sheetData>
    <row r="1" spans="3:11" x14ac:dyDescent="0.3">
      <c r="C1" s="6" t="s">
        <v>205</v>
      </c>
      <c r="D1" s="6" t="s">
        <v>194</v>
      </c>
    </row>
    <row r="2" spans="3:11" x14ac:dyDescent="0.3">
      <c r="C2" s="2" t="s">
        <v>12</v>
      </c>
      <c r="D2" s="2" t="s">
        <v>195</v>
      </c>
    </row>
    <row r="3" spans="3:11" x14ac:dyDescent="0.3">
      <c r="C3" s="2" t="s">
        <v>14</v>
      </c>
      <c r="D3" s="2" t="s">
        <v>196</v>
      </c>
    </row>
    <row r="4" spans="3:11" x14ac:dyDescent="0.3">
      <c r="C4" s="2" t="s">
        <v>16</v>
      </c>
      <c r="D4" s="2" t="s">
        <v>197</v>
      </c>
    </row>
    <row r="5" spans="3:11" x14ac:dyDescent="0.3">
      <c r="C5" s="2" t="s">
        <v>18</v>
      </c>
      <c r="D5" s="2" t="s">
        <v>198</v>
      </c>
      <c r="F5" s="25"/>
      <c r="G5" s="25"/>
      <c r="H5" s="25"/>
      <c r="I5" s="25"/>
      <c r="J5" s="25"/>
      <c r="K5" s="25"/>
    </row>
    <row r="6" spans="3:11" x14ac:dyDescent="0.3">
      <c r="C6" s="2" t="s">
        <v>20</v>
      </c>
      <c r="D6" s="2" t="s">
        <v>199</v>
      </c>
      <c r="F6" s="25"/>
      <c r="G6" s="25"/>
      <c r="H6" s="25"/>
      <c r="I6" s="25"/>
      <c r="J6" s="25"/>
      <c r="K6" s="25"/>
    </row>
    <row r="7" spans="3:11" x14ac:dyDescent="0.3">
      <c r="C7" s="2" t="s">
        <v>22</v>
      </c>
      <c r="D7" s="2" t="s">
        <v>200</v>
      </c>
      <c r="F7" s="25"/>
      <c r="G7" s="25"/>
      <c r="H7" s="25"/>
      <c r="I7" s="25"/>
      <c r="J7" s="25"/>
      <c r="K7" s="25"/>
    </row>
    <row r="8" spans="3:11" x14ac:dyDescent="0.3">
      <c r="C8" s="2" t="s">
        <v>24</v>
      </c>
      <c r="D8" s="2" t="s">
        <v>201</v>
      </c>
      <c r="F8" s="25"/>
      <c r="G8" s="25"/>
      <c r="H8" s="25"/>
      <c r="I8" s="25"/>
      <c r="J8" s="25"/>
      <c r="K8" s="25"/>
    </row>
    <row r="9" spans="3:11" x14ac:dyDescent="0.3">
      <c r="C9" s="2" t="s">
        <v>26</v>
      </c>
      <c r="D9" s="2" t="s">
        <v>202</v>
      </c>
      <c r="F9" s="25"/>
      <c r="G9" s="25"/>
      <c r="H9" s="25"/>
      <c r="I9" s="25"/>
      <c r="J9" s="25"/>
      <c r="K9" s="25"/>
    </row>
    <row r="10" spans="3:11" x14ac:dyDescent="0.3">
      <c r="C10" s="2" t="s">
        <v>28</v>
      </c>
      <c r="D10" s="2" t="s">
        <v>203</v>
      </c>
      <c r="F10" s="25"/>
      <c r="G10" s="25"/>
      <c r="H10" s="25"/>
      <c r="I10" s="25"/>
      <c r="J10" s="25"/>
      <c r="K10" s="25"/>
    </row>
    <row r="11" spans="3:11" x14ac:dyDescent="0.3">
      <c r="C11" s="2" t="s">
        <v>30</v>
      </c>
      <c r="D11" s="2" t="s">
        <v>204</v>
      </c>
      <c r="F11" s="25"/>
      <c r="G11" s="25"/>
      <c r="H11" s="25"/>
      <c r="I11" s="25"/>
      <c r="J11" s="25"/>
      <c r="K11" s="25"/>
    </row>
    <row r="12" spans="3:11" x14ac:dyDescent="0.3">
      <c r="C12" t="s">
        <v>219</v>
      </c>
      <c r="D12" t="s">
        <v>220</v>
      </c>
      <c r="F12" s="25"/>
      <c r="G12" s="25"/>
      <c r="H12" s="25"/>
      <c r="I12" s="25"/>
      <c r="J12" s="25"/>
      <c r="K12" s="25"/>
    </row>
    <row r="13" spans="3:11" x14ac:dyDescent="0.3">
      <c r="C13" t="s">
        <v>221</v>
      </c>
      <c r="D13" t="s">
        <v>222</v>
      </c>
    </row>
    <row r="14" spans="3:11" x14ac:dyDescent="0.3">
      <c r="C14" s="24" t="s">
        <v>223</v>
      </c>
      <c r="D14" s="24" t="s">
        <v>224</v>
      </c>
    </row>
    <row r="15" spans="3:11" x14ac:dyDescent="0.3">
      <c r="C15" t="s">
        <v>225</v>
      </c>
      <c r="D15" t="s">
        <v>225</v>
      </c>
    </row>
    <row r="16" spans="3:11" x14ac:dyDescent="0.3">
      <c r="C16" t="s">
        <v>226</v>
      </c>
      <c r="D16" t="s">
        <v>227</v>
      </c>
    </row>
  </sheetData>
  <conditionalFormatting sqref="A1:XFD1048576">
    <cfRule type="notContainsBlanks" dxfId="0" priority="1">
      <formula>LEN(TRIM(A1))&gt;0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Summary</vt:lpstr>
      <vt:lpstr>Sheet1</vt:lpstr>
      <vt:lpstr>Name &amp; Email id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Bhavya</dc:creator>
  <cp:lastModifiedBy>Bhavya</cp:lastModifiedBy>
  <dcterms:created xsi:type="dcterms:W3CDTF">2020-04-20T14:52:44Z</dcterms:created>
  <dcterms:modified xsi:type="dcterms:W3CDTF">2020-05-07T10:37:19Z</dcterms:modified>
</cp:coreProperties>
</file>